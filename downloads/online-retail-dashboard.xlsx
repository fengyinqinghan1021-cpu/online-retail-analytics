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项目首页" sheetId="1" r:id="rId1"/>
    <sheet name="数据附表" sheetId="2" r:id="rId2"/>
    <sheet name="管理看板" sheetId="3" r:id="rId3"/>
    <sheet name="客户分析" sheetId="4" r:id="rId4"/>
    <sheet name="商品与退货" sheetId="5" r:id="rId5"/>
    <sheet name="市场分析" sheetId="6" r:id="rId6"/>
    <sheet name="业务结论" sheetId="7" r:id="rId7"/>
    <sheet name="数据字典" sheetId="8" r:id="rId8"/>
  </sheets>
  <definedNames>
    <definedName name="_xlnm._FilterDatabase" localSheetId="5" hidden="1">市场分析!$A$5:$H$46</definedName>
  </definedNames>
  <calcPr calcId="124519" fullCalcOnLoad="1"/>
</workbook>
</file>

<file path=xl/sharedStrings.xml><?xml version="1.0" encoding="utf-8"?>
<sst xmlns="http://schemas.openxmlformats.org/spreadsheetml/2006/main" count="533" uniqueCount="335">
  <si>
    <t>ONLINE RETAIL II</t>
  </si>
  <si>
    <t>英国在线零售商 2009–2011 交易数据分析  |  SQL → Python → Excel / Power BI</t>
  </si>
  <si>
    <t>用 106.7 万行公开交易数据，回答四个问题：钱从哪里来、客户是谁、增长在哪里、退货是否失控。</t>
  </si>
  <si>
    <t>净销售额</t>
  </si>
  <si>
    <t>£18.98M</t>
  </si>
  <si>
    <t>商品销售扣除退货</t>
  </si>
  <si>
    <t>订单数</t>
  </si>
  <si>
    <t>39,516</t>
  </si>
  <si>
    <t>有效商品销售订单</t>
  </si>
  <si>
    <t>客户数</t>
  </si>
  <si>
    <t>5,852</t>
  </si>
  <si>
    <t>有客户 ID 的客户</t>
  </si>
  <si>
    <t>常规退货率</t>
  </si>
  <si>
    <t>2.41%</t>
  </si>
  <si>
    <t>剔除两笔批量退货</t>
  </si>
  <si>
    <t>原始行数</t>
  </si>
  <si>
    <t>1,067,371</t>
  </si>
  <si>
    <t>两张年度表合并</t>
  </si>
  <si>
    <t>覆盖国家/地区</t>
  </si>
  <si>
    <t>43</t>
  </si>
  <si>
    <t>含英国与海外市场</t>
  </si>
  <si>
    <t>交付物导航</t>
  </si>
  <si>
    <t>管理看板</t>
  </si>
  <si>
    <t>一页看清营收、客户、市场与退货</t>
  </si>
  <si>
    <t>客户分析</t>
  </si>
  <si>
    <t>RFM 客群、帕累托与月度留存</t>
  </si>
  <si>
    <t>商品与退货</t>
  </si>
  <si>
    <t>Top SKU、ABC 分层、退货 drill-down</t>
  </si>
  <si>
    <t>市场分析</t>
  </si>
  <si>
    <t>国家/地区营收、订单与同比</t>
  </si>
  <si>
    <t>业务结论</t>
  </si>
  <si>
    <t>5 条结论、证据与建议动作</t>
  </si>
  <si>
    <t>数据附表</t>
  </si>
  <si>
    <t>图表数据源与数据质量记录</t>
  </si>
  <si>
    <t>数据字典</t>
  </si>
  <si>
    <t>字段定义与清洗口径</t>
  </si>
  <si>
    <t>数据源：UCI Machine Learning Repository — Online Retail II（公开数据集）
时间范围：2009-12-01 至 2011-12-09  |  货币：英镑（£）  |  粒度：订单行
说明：原始数据包含两张年度表，2010-12 有 9 天重叠；本报告仅删除跨表重复行。</t>
  </si>
  <si>
    <t>数据附表 · 图表数据源与数据质量</t>
  </si>
  <si>
    <t>月度经营数据</t>
  </si>
  <si>
    <t>月份</t>
  </si>
  <si>
    <t>3个月移动平均</t>
  </si>
  <si>
    <t>客单价</t>
  </si>
  <si>
    <t>退货金额</t>
  </si>
  <si>
    <t>退货率</t>
  </si>
  <si>
    <t>剔除批量退货率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</si>
  <si>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</si>
  <si>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</si>
  <si>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</si>
  <si>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</si>
  <si>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</si>
  <si>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</si>
  <si>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</si>
  <si>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</si>
  <si>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</si>
  <si>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</si>
  <si>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</si>
  <si>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</si>
  <si>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</si>
  <si>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</si>
  <si>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</si>
  <si>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</si>
  <si>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</si>
  <si>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</si>
  <si>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</si>
  <si>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</si>
  <si>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</si>
  <si>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</si>
  <si>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</si>
  <si>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</si>
  <si>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</si>
  <si>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Top 10 海外市场</t>
  </si>
  <si>
    <t>国家/地区</t>
  </si>
  <si>
    <t>同比</t>
  </si>
  <si>
    <t>爱尔兰</t>
  </si>
  <si>
    <t>荷兰</t>
  </si>
  <si>
    <t>德国</t>
  </si>
  <si>
    <t>法国</t>
  </si>
  <si>
    <t>澳大利亚</t>
  </si>
  <si>
    <t>瑞士</t>
  </si>
  <si>
    <t>西班牙</t>
  </si>
  <si>
    <t>瑞典</t>
  </si>
  <si>
    <t>丹麦</t>
  </si>
  <si>
    <t>比利时</t>
  </si>
  <si>
    <t>英国净销售额 £16.22M，占 85.5%；为便于比较，图表仅展示海外市场。</t>
  </si>
  <si>
    <t>RFM 客群</t>
  </si>
  <si>
    <t>客群</t>
  </si>
  <si>
    <t>客户占比</t>
  </si>
  <si>
    <t>营收占比</t>
  </si>
  <si>
    <t>核心客户</t>
  </si>
  <si>
    <t>忠诚客户</t>
  </si>
  <si>
    <t>流失预警</t>
  </si>
  <si>
    <t>沉睡客户</t>
  </si>
  <si>
    <t>新近客户</t>
  </si>
  <si>
    <t>一般客户</t>
  </si>
  <si>
    <t>ABC 分层</t>
  </si>
  <si>
    <t>层级</t>
  </si>
  <si>
    <t>SKU 数</t>
  </si>
  <si>
    <t>A</t>
  </si>
  <si>
    <t>B</t>
  </si>
  <si>
    <t>C</t>
  </si>
  <si>
    <t>Top 10 商品</t>
  </si>
  <si>
    <t>商品</t>
  </si>
  <si>
    <t>SKU</t>
  </si>
  <si>
    <t>销量</t>
  </si>
  <si>
    <t>REGENCY CAKESTAND 3 TIER</t>
  </si>
  <si>
    <t>22423</t>
  </si>
  <si>
    <t>WHITE HANGING HEART T-LIGHT HOLDER</t>
  </si>
  <si>
    <t>85123A</t>
  </si>
  <si>
    <t>JUMBO BAG RED RETROSPOT</t>
  </si>
  <si>
    <t>85099B</t>
  </si>
  <si>
    <t>PARTY BUNTING</t>
  </si>
  <si>
    <t>47566</t>
  </si>
  <si>
    <t>ASSORTED COLOUR BIRD ORNAMENT</t>
  </si>
  <si>
    <t>84879</t>
  </si>
  <si>
    <t>PAPER CHAIN KIT 50'S CHRISTMAS</t>
  </si>
  <si>
    <t>22086</t>
  </si>
  <si>
    <t>CHILLI LIGHTS</t>
  </si>
  <si>
    <t>79321</t>
  </si>
  <si>
    <t>SMALL POPCORN HOLDER</t>
  </si>
  <si>
    <t>22197</t>
  </si>
  <si>
    <t>JUMBO BAG PINK POLKADOT</t>
  </si>
  <si>
    <t>22386</t>
  </si>
  <si>
    <t>ROTATING SILVER ANGELS T-LIGHT HLDR</t>
  </si>
  <si>
    <t>84347</t>
  </si>
  <si>
    <t>退货金额 Top 10</t>
  </si>
  <si>
    <t>PAPER CRAFT , LITTLE BIRDIE</t>
  </si>
  <si>
    <t>23843</t>
  </si>
  <si>
    <t>MEDIUM CERAMIC TOP STORAGE JAR</t>
  </si>
  <si>
    <t>23166</t>
  </si>
  <si>
    <t>COLOUR GLASS. STAR T-LIGHT HOLDER</t>
  </si>
  <si>
    <t>71477</t>
  </si>
  <si>
    <t>FAIRY CAKE FLANNEL ASSORTED COLOUR</t>
  </si>
  <si>
    <t>21108</t>
  </si>
  <si>
    <t>WHITE CHERRY LIGHTS</t>
  </si>
  <si>
    <t>79323W</t>
  </si>
  <si>
    <t>RED RETROSPOT CAKE STAND</t>
  </si>
  <si>
    <t>21843</t>
  </si>
  <si>
    <t>SET/4 WHITE RETRO STORAGE CUBES</t>
  </si>
  <si>
    <t>84078A</t>
  </si>
  <si>
    <t>PANTRY CHOPPING BOARD</t>
  </si>
  <si>
    <t>23113</t>
  </si>
  <si>
    <t>数据质量记录</t>
  </si>
  <si>
    <t>指标</t>
  </si>
  <si>
    <t>数值</t>
  </si>
  <si>
    <t>说明</t>
  </si>
  <si>
    <t>两张年度工作表合并</t>
  </si>
  <si>
    <t>跨表重复删除</t>
  </si>
  <si>
    <t>仅处理 2010-12 重叠期</t>
  </si>
  <si>
    <t>清洗后行数</t>
  </si>
  <si>
    <t>保留同表内重复记录</t>
  </si>
  <si>
    <t>原始缺少客户 ID 行数</t>
  </si>
  <si>
    <t>占原始行约 22.8%</t>
  </si>
  <si>
    <t>清洗后缺少客户 ID 行数</t>
  </si>
  <si>
    <t>不参与客户级 RFM</t>
  </si>
  <si>
    <t>缺货品描述（清洗前）</t>
  </si>
  <si>
    <t>按 SKU 众数描述补全</t>
  </si>
  <si>
    <t>商品取消/退货行</t>
  </si>
  <si>
    <t>含 C 开头发票与负数量</t>
  </si>
  <si>
    <t>有效商品销售行</t>
  </si>
  <si>
    <t>排除运费/手续费/手工调整</t>
  </si>
  <si>
    <t>价格异常标记行</t>
  </si>
  <si>
    <t>仅标记，不删除营收</t>
  </si>
  <si>
    <t>经营总览  |  Online Retail II</t>
  </si>
  <si>
    <t>2009-12-01 — 2011-12-09  ·  净销售额、订单、客户与退货  ·  数据源：UCI 公开数据集</t>
  </si>
  <si>
    <t>有效订单</t>
  </si>
  <si>
    <t>按发票去重</t>
  </si>
  <si>
    <t>有客户 ID</t>
  </si>
  <si>
    <t>客单价中位数</t>
  </si>
  <si>
    <t>£302</t>
  </si>
  <si>
    <t>抗极端值</t>
  </si>
  <si>
    <t>全部退货率 3.65%</t>
  </si>
  <si>
    <t>注：英国 £16.22M，占 85.5%，未在图中展示；2011-12 仅含 1–9 日且含单笔 £168K 批量退货。</t>
  </si>
  <si>
    <t>本页结论</t>
  </si>
  <si>
    <t>01  11 月是销售峰值：完整月份中 11 月净销售额平均比月均高 83%，备货、客服与仓配应在 9–10 月前置。</t>
  </si>
  <si>
    <t>02  客户高度集中：前 20% 客户贡献 76.7% 净销售额，前 1% 客户贡献 31.1%；核心客户以 21.5% 的人数贡献 68.7% 营收。</t>
  </si>
  <si>
    <t>03  海外是增量：非英国市场同比 +15.3%，英国仅 +0.4%；法国 +54.9%、德国 +10.5%、荷兰 +10.9%。</t>
  </si>
  <si>
    <t>04  退货需分层管理：全部退货率 3.65%，两笔批量退货占退货额 34.1%；剔除后常规退货率 2.41%。</t>
  </si>
  <si>
    <t>05  商品长尾明显：1,038 个 A 类 SKU 贡献 80% 营收；前 20% SKU 贡献 77.9%，后 2,430 个 SKU 仅贡献 5%。</t>
  </si>
  <si>
    <t>客户分析 · RFM、帕累托与留存</t>
  </si>
  <si>
    <t>客户级分析仅覆盖有 Customer ID 的 5,852 位客户；缺失客户 ID 的订单仍计入整体营收。</t>
  </si>
  <si>
    <t>RFM 客群结构</t>
  </si>
  <si>
    <t>平均最近购买天数</t>
  </si>
  <si>
    <t>平均订单数</t>
  </si>
  <si>
    <t>平均净销售额</t>
  </si>
  <si>
    <t>帕累托数据</t>
  </si>
  <si>
    <t>客户累计占比</t>
  </si>
  <si>
    <t>营收累计占比</t>
  </si>
  <si>
    <t>首购月留存率（完整月份 cohort）</t>
  </si>
  <si>
    <t>首购月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</si>
  <si>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</si>
  <si>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</si>
  <si>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</si>
  <si>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</si>
  <si>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</si>
  <si>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</si>
  <si>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</si>
  <si>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</si>
  <si>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</si>
  <si>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</si>
  <si>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</si>
  <si>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</si>
  <si>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商品与退货 · SKU 表现、ABC 与 drill-down</t>
  </si>
  <si>
    <t>Top 20 商品（按净销售额）</t>
  </si>
  <si>
    <t>ABC</t>
  </si>
  <si>
    <t>LUNCH BAG RED RETROSPOT</t>
  </si>
  <si>
    <t>20725</t>
  </si>
  <si>
    <t>JUMBO BAG STRAWBERRY</t>
  </si>
  <si>
    <t>85099F</t>
  </si>
  <si>
    <t>DOORMAT UNION FLAG</t>
  </si>
  <si>
    <t>48138</t>
  </si>
  <si>
    <t>RABBIT NIGHT LIGHT</t>
  </si>
  <si>
    <t>23084</t>
  </si>
  <si>
    <t>DOORMAT RED RETROSPOT</t>
  </si>
  <si>
    <t>20685</t>
  </si>
  <si>
    <t>BLACK RECORD COVER FRAME</t>
  </si>
  <si>
    <t>21137</t>
  </si>
  <si>
    <t>JUMBO STORAGE BAG SUKI</t>
  </si>
  <si>
    <t>21931</t>
  </si>
  <si>
    <t>PICNIC BASKET WICKER SMALL</t>
  </si>
  <si>
    <t>22502</t>
  </si>
  <si>
    <t>VINTAGE UNION JACK BUNTING</t>
  </si>
  <si>
    <t>21621</t>
  </si>
  <si>
    <t>退货金额 Top 15（含批量退货）</t>
  </si>
  <si>
    <t>DOORMAT FAIRY CAKE</t>
  </si>
  <si>
    <t>48185</t>
  </si>
  <si>
    <t>TEA TIME PARTY BUNTING</t>
  </si>
  <si>
    <t>47566B</t>
  </si>
  <si>
    <t>PINK BLUE FELT CRAFT TRINKET BOX</t>
  </si>
  <si>
    <t>20971</t>
  </si>
  <si>
    <t>BAKING SET 9 PIECE RETROSPOT</t>
  </si>
  <si>
    <t>22138</t>
  </si>
  <si>
    <t>PINK CHERRY LIGHTS</t>
  </si>
  <si>
    <t>79323P</t>
  </si>
  <si>
    <t>退货 drill-down
两笔批量退货：
C581484 · 2011-12-09 · £168,470
C541433 · 2011-01-18 · £77,184
合计占全部退货金额 34.1%。</t>
  </si>
  <si>
    <t>市场分析 · 国家/地区表现与同比</t>
  </si>
  <si>
    <t>国家/地区明细</t>
  </si>
  <si>
    <t>类型</t>
  </si>
  <si>
    <t>英国</t>
  </si>
  <si>
    <t>海外</t>
  </si>
  <si>
    <t>葡萄牙</t>
  </si>
  <si>
    <t>海峡群岛</t>
  </si>
  <si>
    <t>日本</t>
  </si>
  <si>
    <t>挪威</t>
  </si>
  <si>
    <t>意大利</t>
  </si>
  <si>
    <t>芬兰</t>
  </si>
  <si>
    <t>塞浦路斯</t>
  </si>
  <si>
    <t>奥地利</t>
  </si>
  <si>
    <t>希腊</t>
  </si>
  <si>
    <t>新加坡</t>
  </si>
  <si>
    <t>以色列</t>
  </si>
  <si>
    <t>Unspecified</t>
  </si>
  <si>
    <t>波兰</t>
  </si>
  <si>
    <t>阿联酋</t>
  </si>
  <si>
    <t>美国</t>
  </si>
  <si>
    <t>冰岛</t>
  </si>
  <si>
    <t>立陶宛</t>
  </si>
  <si>
    <t>马耳他</t>
  </si>
  <si>
    <t>加拿大</t>
  </si>
  <si>
    <t>南非</t>
  </si>
  <si>
    <t>泰国</t>
  </si>
  <si>
    <t>巴林</t>
  </si>
  <si>
    <t>黎巴嫩</t>
  </si>
  <si>
    <t>巴西</t>
  </si>
  <si>
    <t>European Community</t>
  </si>
  <si>
    <t>韩国</t>
  </si>
  <si>
    <t>捷克</t>
  </si>
  <si>
    <t>West Indies</t>
  </si>
  <si>
    <t>沙特阿拉伯</t>
  </si>
  <si>
    <t>Nigeria</t>
  </si>
  <si>
    <t>同比口径：2010-01-01 至 2010-12-09 vs 2011-01-01 至 2011-12-09，避免 12 月数据只到 9 日造成偏差。
非英国市场同比 +15.3%，英国 +0.4%；爱尔兰的 -24.0% 主要由少数大客户订单波动驱动，不宜直接解读为市场需求下滑。</t>
  </si>
  <si>
    <t>5 条业务结论 · 证据与建议动作</t>
  </si>
  <si>
    <t>#</t>
  </si>
  <si>
    <t>结论</t>
  </si>
  <si>
    <t>数据证据</t>
  </si>
  <si>
    <t>建议动作</t>
  </si>
  <si>
    <t>Q4 峰值明确，增长高度依赖 11 月</t>
  </si>
  <si>
    <t>在 2010–2011 的 22 个完整月份中，11 月净销售额平均为月均的 1.83 倍；2011-11 净销售额 £1.43M。</t>
  </si>
  <si>
    <t>将旺季备货、临时客服与仓配能力前置到 9–10 月；对 A 类 SKU 设置 11 月安全库存，避免缺货损失。</t>
  </si>
  <si>
    <t>客户集中度高，核心客户是营收基本盘</t>
  </si>
  <si>
    <t>前 1% 客户贡献 31.1% 营收，前 20% 客户贡献 76.7%；RFM 核心客户仅占 21.5% 人数，却贡献 68.7% 营收。</t>
  </si>
  <si>
    <t>为核心客户建立专属客户经理与补货提醒；对流失预警客群（12.1% 人数、8.3% 营收）做召回，优先处理高历史价值客户。</t>
  </si>
  <si>
    <t>海外市场是主要增量，英国增长接近饱和</t>
  </si>
  <si>
    <t>非英国市场同比 +15.3%，英国 +0.4%；法国 +54.9%、德国 +10.5%、荷兰 +10.9%；澳大利亚基数小但同比 +354%。</t>
  </si>
  <si>
    <t>优先深耕法国、德国、荷兰：本地化定价/运费、语言客服与重点品类测试；对澳大利亚先验证可持续复购，再加大投入。</t>
  </si>
  <si>
    <t>退货整体可控，但被少数批量退货放大</t>
  </si>
  <si>
    <t>全部退货金额率 3.65%；两笔批量退货合计 £245.7K，占退货额 34.1%；剔除后常规退货率 2.41%。</t>
  </si>
  <si>
    <t>将批发取消/整单退货与消费者退货分开考核；对高退货金额商品做质检与包装复盘，对高退货率商品设置销售预警。</t>
  </si>
  <si>
    <t>商品组合呈典型长尾，A 类 SKU 决定大盘</t>
  </si>
  <si>
    <t>1,038 个 A 类 SKU 贡献 80.0% 营收；前 20% SKU 贡献 77.9%；2,430 个 C 类 SKU 仅贡献 5.0%。</t>
  </si>
  <si>
    <t>A 类 SKU 保供、保曝光；B 类做组合销售与价格测试；C 类按动销与退货率逐步淘汰，释放库存与运营资源。</t>
  </si>
  <si>
    <t>数据字典与口径说明</t>
  </si>
  <si>
    <t>字段</t>
  </si>
  <si>
    <t>定义 / 清洗口径</t>
  </si>
  <si>
    <t>invoice</t>
  </si>
  <si>
    <t>文本</t>
  </si>
  <si>
    <t>发票号；C 开头表示取消/退货发票。</t>
  </si>
  <si>
    <t>stock_code</t>
  </si>
  <si>
    <t>SKU；统一大写，去除大小写重复。</t>
  </si>
  <si>
    <t>description</t>
  </si>
  <si>
    <t>商品描述；缺失值按 SKU 众数补全。</t>
  </si>
  <si>
    <t>quantity</t>
  </si>
  <si>
    <t>整数</t>
  </si>
  <si>
    <t>数量；负数表示退货/取消。</t>
  </si>
  <si>
    <t>invoice_date</t>
  </si>
  <si>
    <t>时间</t>
  </si>
  <si>
    <t>交易时间；用于月份、星期、小时分析。</t>
  </si>
  <si>
    <t>price</t>
  </si>
  <si>
    <t>小数</t>
  </si>
  <si>
    <t>单价（英镑）；&lt;=0 的记录不进入商品销售。</t>
  </si>
  <si>
    <t>customer_id</t>
  </si>
  <si>
    <t>客户 ID；缺失表示游客/未识别客户。</t>
  </si>
  <si>
    <t>country</t>
  </si>
  <si>
    <t>客户所在国家/地区。</t>
  </si>
  <si>
    <t>sales_amount</t>
  </si>
  <si>
    <t>有效商品销售金额 = 数量 × 单价。</t>
  </si>
  <si>
    <t>return_amount</t>
  </si>
  <si>
    <t>退货金额 = |数量| × 单价。</t>
  </si>
  <si>
    <t>net_amount</t>
  </si>
  <si>
    <t>净销售额 = sales_amount - return_amount。</t>
  </si>
  <si>
    <t>is_product_sale</t>
  </si>
  <si>
    <t>布尔</t>
  </si>
  <si>
    <t>非取消、数量&gt;0、单价&gt;0、非运费/调整等特殊 SKU。</t>
  </si>
  <si>
    <t>is_product_return</t>
  </si>
  <si>
    <t>取消发票或负数量，且单价&gt;0、非特殊 SKU。</t>
  </si>
  <si>
    <t>is_special_code</t>
  </si>
  <si>
    <t>POST、DOT、M、BANK CHARGES、AMAZONFEE 等非商品行。</t>
  </si>
  <si>
    <t>is_guest</t>
  </si>
  <si>
    <t>customer_id 缺失。</t>
  </si>
  <si>
    <t>price_outlier</t>
  </si>
  <si>
    <t>价格 &gt; SKU 中位数 6 倍且 &gt; £50；仅标记，不删除。</t>
  </si>
  <si>
    <t>rfm_segment</t>
  </si>
  <si>
    <t>按 R/F/M 打分后的客群标签。</t>
  </si>
  <si>
    <t>abc_class</t>
  </si>
  <si>
    <t>按净销售额累计占比划分 A(&lt;=80%) / B(&lt;=95%) / C。</t>
  </si>
  <si>
    <t>清洗规则摘要：
1. 两张年度表按完整业务字段识别跨表重复，仅删除 2010-12 重叠期的重复行，保留同表内重复记录。
2. 特殊 SKU（运费、手工调整、银行费用、礼品券等）不进入商品销售/退货指标。
3. 退货分析同时展示“全部退货率”和“剔除两笔批量退货后的常规退货率”，避免单笔批发取消扭曲判断。
4. 客户级指标仅使用有 Customer ID 的销售行；整体营收包含游客订单。</t>
  </si>
</sst>
</file>

<file path=xl/styles.xml><?xml version="1.0" encoding="utf-8"?>
<styleSheet xmlns="http://schemas.openxmlformats.org/spreadsheetml/2006/main">
  <numFmts count="6">
    <numFmt numFmtId="164" formatCode="£#,##0"/>
    <numFmt numFmtId="165" formatCode="#,##0"/>
    <numFmt numFmtId="166" formatCode="0.00%"/>
    <numFmt numFmtId="167" formatCode="0.0%"/>
    <numFmt numFmtId="168" formatCode="0.0"/>
    <numFmt numFmtId="169" formatCode="0%"/>
  </numFmts>
  <fonts count="24">
    <font>
      <sz val="11"/>
      <color theme="1"/>
      <name val="Calibri"/>
      <family val="2"/>
      <scheme val="minor"/>
    </font>
    <font>
      <b/>
      <sz val="26"/>
      <color rgb="FFFFFFFF"/>
      <name val="Microsoft YaHei"/>
      <family val="2"/>
    </font>
    <font>
      <sz val="10"/>
      <color rgb="FFDCE7EA"/>
      <name val="Microsoft YaHei"/>
      <family val="2"/>
    </font>
    <font>
      <sz val="13"/>
      <color rgb="FF21383D"/>
      <name val="Microsoft YaHei"/>
      <family val="2"/>
    </font>
    <font>
      <sz val="10"/>
      <color rgb="FF5A6B70"/>
      <name val="Microsoft YaHei"/>
      <family val="2"/>
    </font>
    <font>
      <b/>
      <sz val="22"/>
      <color rgb="FF0F4C5C"/>
      <name val="Microsoft YaHei"/>
      <family val="2"/>
    </font>
    <font>
      <sz val="8"/>
      <color rgb="FF5A6B70"/>
      <name val="Microsoft YaHei"/>
      <family val="2"/>
    </font>
    <font>
      <b/>
      <sz val="13"/>
      <color rgb="FF1D3557"/>
      <name val="Microsoft YaHei"/>
      <family val="2"/>
    </font>
    <font>
      <b/>
      <u/>
      <sz val="10"/>
      <color rgb="FF0F4C5C"/>
      <name val="Microsoft YaHei"/>
      <family val="2"/>
    </font>
    <font>
      <sz val="10"/>
      <color rgb="FF21383D"/>
      <name val="Microsoft YaHei"/>
      <family val="2"/>
    </font>
    <font>
      <sz val="9"/>
      <color rgb="FF5A6B70"/>
      <name val="Microsoft YaHei"/>
      <family val="2"/>
    </font>
    <font>
      <b/>
      <sz val="10"/>
      <color rgb="FFFFFFFF"/>
      <name val="Microsoft YaHei"/>
      <family val="2"/>
    </font>
    <font>
      <sz val="9"/>
      <color rgb="FFFFFFFF"/>
      <name val="Microsoft YaHei"/>
      <family val="2"/>
    </font>
    <font>
      <b/>
      <sz val="21"/>
      <color rgb="FFFFFFFF"/>
      <name val="Microsoft YaHei"/>
      <family val="2"/>
    </font>
    <font>
      <sz val="8"/>
      <color rgb="FFEAF2F4"/>
      <name val="Microsoft YaHei"/>
      <family val="2"/>
    </font>
    <font>
      <sz val="7.5"/>
      <color rgb="FF5A6B70"/>
      <name val="Microsoft YaHei"/>
      <family val="2"/>
    </font>
    <font>
      <b/>
      <sz val="12"/>
      <color rgb="FFFFFFFF"/>
      <name val="Microsoft YaHei"/>
      <family val="2"/>
    </font>
    <font>
      <sz val="9.5"/>
      <color rgb="FF21383D"/>
      <name val="Microsoft YaHei"/>
      <family val="2"/>
    </font>
    <font>
      <b/>
      <sz val="10"/>
      <color rgb="FF21383D"/>
      <name val="Microsoft YaHei"/>
      <family val="2"/>
    </font>
    <font>
      <sz val="9"/>
      <color theme="1"/>
      <name val="Microsoft YaHei"/>
      <family val="2"/>
    </font>
    <font>
      <sz val="9"/>
      <color rgb="FF21383D"/>
      <name val="Microsoft YaHei"/>
      <family val="2"/>
    </font>
    <font>
      <b/>
      <sz val="18"/>
      <color rgb="FFE36414"/>
      <name val="Microsoft YaHei"/>
      <family val="2"/>
    </font>
    <font>
      <b/>
      <sz val="11"/>
      <color rgb="FF21383D"/>
      <name val="Microsoft YaHei"/>
      <family val="2"/>
    </font>
    <font>
      <sz val="9"/>
      <color theme="1"/>
      <name val="Consolas"/>
      <family val="2"/>
    </font>
  </fonts>
  <fills count="10">
    <fill>
      <patternFill patternType="none"/>
    </fill>
    <fill>
      <patternFill patternType="gray125"/>
    </fill>
    <fill>
      <patternFill patternType="solid">
        <fgColor rgb="FF1D3557"/>
        <bgColor indexed="64"/>
      </patternFill>
    </fill>
    <fill>
      <patternFill patternType="solid">
        <fgColor rgb="FFF2F6F7"/>
        <bgColor indexed="64"/>
      </patternFill>
    </fill>
    <fill>
      <patternFill patternType="solid">
        <fgColor rgb="FF0F4C5C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C58B2A"/>
        <bgColor indexed="64"/>
      </patternFill>
    </fill>
    <fill>
      <patternFill patternType="solid">
        <fgColor rgb="FFE364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EBD0"/>
        <bgColor indexed="64"/>
      </patternFill>
    </fill>
  </fills>
  <borders count="6">
    <border>
      <left/>
      <right/>
      <top/>
      <bottom/>
      <diagonal/>
    </border>
    <border>
      <left style="thin">
        <color rgb="FFD8E0E3"/>
      </left>
      <right style="thin">
        <color rgb="FFD8E0E3"/>
      </right>
      <top style="thin">
        <color rgb="FFD8E0E3"/>
      </top>
      <bottom style="thin">
        <color rgb="FFD8E0E3"/>
      </bottom>
      <diagonal/>
    </border>
    <border>
      <left/>
      <right/>
      <top/>
      <bottom style="medium">
        <color rgb="FFE3641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8EFF1"/>
      </left>
      <right style="thin">
        <color rgb="FFE8EFF1"/>
      </right>
      <top style="thin">
        <color rgb="FFE8EFF1"/>
      </top>
      <bottom style="thin">
        <color rgb="FFE8EFF1"/>
      </bottom>
      <diagonal/>
    </border>
    <border>
      <left style="thin">
        <color rgb="FFE9D8A6"/>
      </left>
      <right style="thin">
        <color rgb="FFE9D8A6"/>
      </right>
      <top style="thin">
        <color rgb="FFE9D8A6"/>
      </top>
      <bottom style="thin">
        <color rgb="FFE9D8A6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2" xfId="0" applyFont="1" applyBorder="1"/>
    <xf numFmtId="0" fontId="8" fillId="0" borderId="0" xfId="0" applyFont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164" fontId="9" fillId="0" borderId="4" xfId="0" applyNumberFormat="1" applyFont="1" applyBorder="1" applyAlignment="1">
      <alignment vertical="center"/>
    </xf>
    <xf numFmtId="165" fontId="9" fillId="0" borderId="4" xfId="0" applyNumberFormat="1" applyFont="1" applyBorder="1" applyAlignment="1">
      <alignment vertical="center"/>
    </xf>
    <xf numFmtId="166" fontId="9" fillId="0" borderId="4" xfId="0" applyNumberFormat="1" applyFont="1" applyBorder="1" applyAlignment="1">
      <alignment vertical="center"/>
    </xf>
    <xf numFmtId="167" fontId="9" fillId="0" borderId="4" xfId="0" applyNumberFormat="1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2" fillId="4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12" fillId="6" borderId="0" xfId="0" applyFont="1" applyFill="1" applyAlignment="1">
      <alignment horizontal="left" vertical="center" indent="1"/>
    </xf>
    <xf numFmtId="0" fontId="12" fillId="7" borderId="0" xfId="0" applyFont="1" applyFill="1" applyAlignment="1">
      <alignment horizontal="left" vertical="center" indent="1"/>
    </xf>
    <xf numFmtId="0" fontId="13" fillId="4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13" fillId="5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4" fillId="4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4" fillId="5" borderId="0" xfId="0" applyFont="1" applyFill="1" applyAlignment="1">
      <alignment horizontal="left" vertical="center" indent="1"/>
    </xf>
    <xf numFmtId="0" fontId="14" fillId="6" borderId="0" xfId="0" applyFont="1" applyFill="1" applyAlignment="1">
      <alignment horizontal="left" vertical="center" indent="1"/>
    </xf>
    <xf numFmtId="0" fontId="14" fillId="7" borderId="0" xfId="0" applyFont="1" applyFill="1" applyAlignment="1">
      <alignment horizontal="left" vertical="center" indent="1"/>
    </xf>
    <xf numFmtId="0" fontId="15" fillId="0" borderId="0" xfId="0" applyFont="1" applyAlignment="1">
      <alignment vertical="center"/>
    </xf>
    <xf numFmtId="0" fontId="16" fillId="2" borderId="0" xfId="0" applyFont="1" applyFill="1" applyAlignment="1">
      <alignment horizontal="left" indent="1"/>
    </xf>
    <xf numFmtId="0" fontId="17" fillId="3" borderId="0" xfId="0" applyFont="1" applyFill="1" applyAlignment="1">
      <alignment horizontal="left" vertical="center" indent="1" wrapText="1"/>
    </xf>
    <xf numFmtId="0" fontId="17" fillId="8" borderId="0" xfId="0" applyFont="1" applyFill="1" applyAlignment="1">
      <alignment horizontal="left" vertical="center" indent="1" wrapText="1"/>
    </xf>
    <xf numFmtId="168" fontId="9" fillId="0" borderId="4" xfId="0" applyNumberFormat="1" applyFont="1" applyBorder="1" applyAlignment="1">
      <alignment vertical="center"/>
    </xf>
    <xf numFmtId="0" fontId="18" fillId="0" borderId="0" xfId="0" applyFont="1"/>
    <xf numFmtId="167" fontId="0" fillId="0" borderId="0" xfId="0" applyNumberFormat="1"/>
    <xf numFmtId="169" fontId="19" fillId="0" borderId="0" xfId="0" applyNumberFormat="1" applyFont="1"/>
    <xf numFmtId="0" fontId="20" fillId="9" borderId="5" xfId="0" applyFont="1" applyFill="1" applyBorder="1" applyAlignment="1">
      <alignment vertical="top" indent="1" wrapText="1"/>
    </xf>
    <xf numFmtId="0" fontId="11" fillId="2" borderId="3" xfId="0" applyFont="1" applyFill="1" applyBorder="1" applyAlignment="1">
      <alignment horizontal="center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1" fillId="2" borderId="3" xfId="0" applyFont="1" applyFill="1" applyBorder="1"/>
    <xf numFmtId="0" fontId="23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1383D"/>
                </a:solidFill>
                <a:latin typeface="Microsoft YaHei"/>
              </a:defRPr>
            </a:pPr>
            <a:r>
              <a:rPr lang="en-US" sz="1200" b="1" baseline="0">
                <a:solidFill>
                  <a:srgbClr val="21383D"/>
                </a:solidFill>
                <a:latin typeface="Microsoft YaHei"/>
              </a:rPr>
              <a:t>月度净销售额趋势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净销售额</c:v>
          </c:tx>
          <c:spPr>
            <a:solidFill>
              <a:srgbClr val="0F4C5C"/>
            </a:solidFill>
            <a:ln>
              <a:noFill/>
            </a:ln>
          </c:spPr>
          <c:cat>
            <c:strRef>
              <c:f>'数据附表'!$A$5:$A$29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'数据附表'!$B$5:$B$29</c:f>
              <c:numCache>
                <c:formatCode>General</c:formatCode>
                <c:ptCount val="25"/>
                <c:pt idx="0">
                  <c:v>781541.6899999999</c:v>
                </c:pt>
                <c:pt idx="1">
                  <c:v>606385.1800000001</c:v>
                </c:pt>
                <c:pt idx="2">
                  <c:v>527160.3</c:v>
                </c:pt>
                <c:pt idx="3">
                  <c:v>754676.65</c:v>
                </c:pt>
                <c:pt idx="4">
                  <c:v>638968.5600000001</c:v>
                </c:pt>
                <c:pt idx="5">
                  <c:v>608351.25</c:v>
                </c:pt>
                <c:pt idx="6">
                  <c:v>672935.41</c:v>
                </c:pt>
                <c:pt idx="7">
                  <c:v>617764.26</c:v>
                </c:pt>
                <c:pt idx="8">
                  <c:v>663642.0699999999</c:v>
                </c:pt>
                <c:pt idx="9">
                  <c:v>844100.37</c:v>
                </c:pt>
                <c:pt idx="10">
                  <c:v>1072467.65</c:v>
                </c:pt>
                <c:pt idx="11">
                  <c:v>1400559.24</c:v>
                </c:pt>
                <c:pt idx="12">
                  <c:v>759102.28</c:v>
                </c:pt>
                <c:pt idx="13">
                  <c:v>580406.89</c:v>
                </c:pt>
                <c:pt idx="14">
                  <c:v>500510.33</c:v>
                </c:pt>
                <c:pt idx="15">
                  <c:v>680582.3100000001</c:v>
                </c:pt>
                <c:pt idx="16">
                  <c:v>482901.21</c:v>
                </c:pt>
                <c:pt idx="17">
                  <c:v>732244.1800000001</c:v>
                </c:pt>
                <c:pt idx="18">
                  <c:v>724991.03</c:v>
                </c:pt>
                <c:pt idx="19">
                  <c:v>677955.2</c:v>
                </c:pt>
                <c:pt idx="20">
                  <c:v>702583.98</c:v>
                </c:pt>
                <c:pt idx="21">
                  <c:v>1013430.68</c:v>
                </c:pt>
                <c:pt idx="22">
                  <c:v>1062677.66</c:v>
                </c:pt>
                <c:pt idx="23">
                  <c:v>1432734.99</c:v>
                </c:pt>
                <c:pt idx="24">
                  <c:v>441366.51</c:v>
                </c:pt>
              </c:numCache>
            </c:numRef>
          </c:val>
        </c:ser>
        <c:gapWidth val="35"/>
        <c:axId val="50010001"/>
        <c:axId val="50010002"/>
      </c:barChart>
      <c:lineChart>
        <c:grouping val="standard"/>
        <c:ser>
          <c:idx val="1"/>
          <c:order val="1"/>
          <c:tx>
            <c:v>3个月移动平均</c:v>
          </c:tx>
          <c:spPr>
            <a:ln w="28575">
              <a:solidFill>
                <a:srgbClr val="E36414"/>
              </a:solidFill>
            </a:ln>
          </c:spPr>
          <c:marker>
            <c:symbol val="none"/>
          </c:marker>
          <c:cat>
            <c:strRef>
              <c:f>'数据附表'!$A$5:$A$29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'数据附表'!$C$5:$C$29</c:f>
              <c:numCache>
                <c:formatCode>General</c:formatCode>
                <c:ptCount val="25"/>
                <c:pt idx="0">
                  <c:v>781541.6899999999</c:v>
                </c:pt>
                <c:pt idx="1">
                  <c:v>693963.4399999999</c:v>
                </c:pt>
                <c:pt idx="2">
                  <c:v>638362.39</c:v>
                </c:pt>
                <c:pt idx="3">
                  <c:v>629407.38</c:v>
                </c:pt>
                <c:pt idx="4">
                  <c:v>640268.5</c:v>
                </c:pt>
                <c:pt idx="5">
                  <c:v>667332.15</c:v>
                </c:pt>
                <c:pt idx="6">
                  <c:v>640085.0699999999</c:v>
                </c:pt>
                <c:pt idx="7">
                  <c:v>633016.97</c:v>
                </c:pt>
                <c:pt idx="8">
                  <c:v>651447.25</c:v>
                </c:pt>
                <c:pt idx="9">
                  <c:v>708502.23</c:v>
                </c:pt>
                <c:pt idx="10">
                  <c:v>860070.03</c:v>
                </c:pt>
                <c:pt idx="11">
                  <c:v>1105709.09</c:v>
                </c:pt>
                <c:pt idx="12">
                  <c:v>1077376.39</c:v>
                </c:pt>
                <c:pt idx="13">
                  <c:v>913356.14</c:v>
                </c:pt>
                <c:pt idx="14">
                  <c:v>613339.83</c:v>
                </c:pt>
                <c:pt idx="15">
                  <c:v>587166.51</c:v>
                </c:pt>
                <c:pt idx="16">
                  <c:v>554664.62</c:v>
                </c:pt>
                <c:pt idx="17">
                  <c:v>631909.23</c:v>
                </c:pt>
                <c:pt idx="18">
                  <c:v>646712.14</c:v>
                </c:pt>
                <c:pt idx="19">
                  <c:v>711730.14</c:v>
                </c:pt>
                <c:pt idx="20">
                  <c:v>701843.4</c:v>
                </c:pt>
                <c:pt idx="21">
                  <c:v>797989.95</c:v>
                </c:pt>
                <c:pt idx="22">
                  <c:v>926230.77</c:v>
                </c:pt>
                <c:pt idx="23">
                  <c:v>1169614.44</c:v>
                </c:pt>
                <c:pt idx="24">
                  <c:v>978926.39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D8E0E3"/>
            </a:solidFill>
          </a:ln>
        </c:spPr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3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8EFF1"/>
              </a:solidFill>
            </a:ln>
          </c:spPr>
        </c:majorGridlines>
        <c:numFmt formatCode="£#,##0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A6B70"/>
              </a:solidFill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1383D"/>
                </a:solidFill>
                <a:latin typeface="Microsoft YaHei"/>
              </a:defRPr>
            </a:pPr>
            <a:r>
              <a:rPr lang="en-US" sz="1200" b="1" baseline="0">
                <a:solidFill>
                  <a:srgbClr val="21383D"/>
                </a:solidFill>
                <a:latin typeface="Microsoft YaHei"/>
              </a:rPr>
              <a:t>海外 Top 10 市场：法国 +54.9%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净销售额</c:v>
          </c:tx>
          <c:spPr>
            <a:solidFill>
              <a:srgbClr val="0F4C5C"/>
            </a:solidFill>
            <a:ln>
              <a:noFill/>
            </a:ln>
          </c:spPr>
          <c:dLbls>
            <c:numFmt formatCode="£#,##0" sourceLinked="0"/>
            <c:txPr>
              <a:bodyPr/>
              <a:lstStyle/>
              <a:p>
                <a:pPr>
                  <a:defRPr sz="800" baseline="0">
                    <a:solidFill>
                      <a:srgbClr val="5A6B70"/>
                    </a:solidFill>
                    <a:latin typeface="Microsoft YaHei"/>
                  </a:defRPr>
                </a:pPr>
                <a:endParaRPr lang="en-US"/>
              </a:p>
            </c:txPr>
            <c:showVal val="1"/>
          </c:dLbls>
          <c:cat>
            <c:strRef>
              <c:f>'数据附表'!$A$34:$A$43</c:f>
              <c:strCache>
                <c:ptCount val="10"/>
                <c:pt idx="0">
                  <c:v>爱尔兰</c:v>
                </c:pt>
                <c:pt idx="1">
                  <c:v>荷兰</c:v>
                </c:pt>
                <c:pt idx="2">
                  <c:v>德国</c:v>
                </c:pt>
                <c:pt idx="3">
                  <c:v>法国</c:v>
                </c:pt>
                <c:pt idx="4">
                  <c:v>澳大利亚</c:v>
                </c:pt>
                <c:pt idx="5">
                  <c:v>瑞士</c:v>
                </c:pt>
                <c:pt idx="6">
                  <c:v>西班牙</c:v>
                </c:pt>
                <c:pt idx="7">
                  <c:v>瑞典</c:v>
                </c:pt>
                <c:pt idx="8">
                  <c:v>丹麦</c:v>
                </c:pt>
                <c:pt idx="9">
                  <c:v>比利时</c:v>
                </c:pt>
              </c:strCache>
            </c:strRef>
          </c:cat>
          <c:val>
            <c:numRef>
              <c:f>'数据附表'!$B$34:$B$43</c:f>
              <c:numCache>
                <c:formatCode>General</c:formatCode>
                <c:ptCount val="10"/>
                <c:pt idx="0">
                  <c:v>603407.1</c:v>
                </c:pt>
                <c:pt idx="1">
                  <c:v>546097.08</c:v>
                </c:pt>
                <c:pt idx="2">
                  <c:v>375132.18</c:v>
                </c:pt>
                <c:pt idx="3">
                  <c:v>293626.34</c:v>
                </c:pt>
                <c:pt idx="4">
                  <c:v>166349.65</c:v>
                </c:pt>
                <c:pt idx="5">
                  <c:v>92940.36</c:v>
                </c:pt>
                <c:pt idx="6">
                  <c:v>84862.88</c:v>
                </c:pt>
                <c:pt idx="7">
                  <c:v>84379.07000000001</c:v>
                </c:pt>
                <c:pt idx="8">
                  <c:v>63355.59</c:v>
                </c:pt>
                <c:pt idx="9">
                  <c:v>56618.39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£#,##0" sourceLinked="0"/>
        <c:tickLblPos val="nextTo"/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A6B70"/>
              </a:solidFill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1383D"/>
                </a:solidFill>
                <a:latin typeface="Microsoft YaHei"/>
              </a:defRPr>
            </a:pPr>
            <a:r>
              <a:rPr lang="en-US" sz="1200" b="1" baseline="0">
                <a:solidFill>
                  <a:srgbClr val="21383D"/>
                </a:solidFill>
                <a:latin typeface="Microsoft YaHei"/>
              </a:rPr>
              <a:t>RFM 客群：核心客户贡献 68.7%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营收占比</c:v>
          </c:tx>
          <c:spPr>
            <a:solidFill>
              <a:srgbClr val="E36414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800" baseline="0">
                    <a:solidFill>
                      <a:srgbClr val="5A6B70"/>
                    </a:solidFill>
                    <a:latin typeface="Microsoft YaHei"/>
                  </a:defRPr>
                </a:pPr>
                <a:endParaRPr lang="en-US"/>
              </a:p>
            </c:txPr>
            <c:showVal val="1"/>
          </c:dLbls>
          <c:cat>
            <c:strRef>
              <c:f>'数据附表'!$A$48:$A$53</c:f>
              <c:strCache>
                <c:ptCount val="6"/>
                <c:pt idx="0">
                  <c:v>核心客户</c:v>
                </c:pt>
                <c:pt idx="1">
                  <c:v>忠诚客户</c:v>
                </c:pt>
                <c:pt idx="2">
                  <c:v>流失预警</c:v>
                </c:pt>
                <c:pt idx="3">
                  <c:v>沉睡客户</c:v>
                </c:pt>
                <c:pt idx="4">
                  <c:v>新近客户</c:v>
                </c:pt>
                <c:pt idx="5">
                  <c:v>一般客户</c:v>
                </c:pt>
              </c:strCache>
            </c:strRef>
          </c:cat>
          <c:val>
            <c:numRef>
              <c:f>'数据附表'!$E$48:$E$53</c:f>
              <c:numCache>
                <c:formatCode>General</c:formatCode>
                <c:ptCount val="6"/>
                <c:pt idx="0">
                  <c:v>0.6879513378576851</c:v>
                </c:pt>
                <c:pt idx="1">
                  <c:v>0.1569465261673556</c:v>
                </c:pt>
                <c:pt idx="2">
                  <c:v>0.0836171268336308</c:v>
                </c:pt>
                <c:pt idx="3">
                  <c:v>0.0413085034380348</c:v>
                </c:pt>
                <c:pt idx="4">
                  <c:v>0.016731355355245</c:v>
                </c:pt>
                <c:pt idx="5">
                  <c:v>0.0134451503480484</c:v>
                </c:pt>
              </c:numCache>
            </c:numRef>
          </c:val>
        </c:ser>
        <c:ser>
          <c:idx val="1"/>
          <c:order val="1"/>
          <c:tx>
            <c:v>客户数占比</c:v>
          </c:tx>
          <c:spPr>
            <a:solidFill>
              <a:srgbClr val="0F4C5C"/>
            </a:solidFill>
            <a:ln>
              <a:noFill/>
            </a:ln>
          </c:spPr>
          <c:cat>
            <c:strRef>
              <c:f>'数据附表'!$A$48:$A$53</c:f>
              <c:strCache>
                <c:ptCount val="6"/>
                <c:pt idx="0">
                  <c:v>核心客户</c:v>
                </c:pt>
                <c:pt idx="1">
                  <c:v>忠诚客户</c:v>
                </c:pt>
                <c:pt idx="2">
                  <c:v>流失预警</c:v>
                </c:pt>
                <c:pt idx="3">
                  <c:v>沉睡客户</c:v>
                </c:pt>
                <c:pt idx="4">
                  <c:v>新近客户</c:v>
                </c:pt>
                <c:pt idx="5">
                  <c:v>一般客户</c:v>
                </c:pt>
              </c:strCache>
            </c:strRef>
          </c:cat>
          <c:val>
            <c:numRef>
              <c:f>'数据附表'!$D$48:$D$53</c:f>
              <c:numCache>
                <c:formatCode>General</c:formatCode>
                <c:ptCount val="6"/>
                <c:pt idx="0">
                  <c:v>0.2147983595352016</c:v>
                </c:pt>
                <c:pt idx="1">
                  <c:v>0.2259056732740943</c:v>
                </c:pt>
                <c:pt idx="2">
                  <c:v>0.1213260423786739</c:v>
                </c:pt>
                <c:pt idx="3">
                  <c:v>0.2787081339712918</c:v>
                </c:pt>
                <c:pt idx="4">
                  <c:v>0.0873205741626794</c:v>
                </c:pt>
                <c:pt idx="5">
                  <c:v>0.07194121667805869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/>
        <c:numFmt formatCode="0%" sourceLinked="0"/>
        <c:tickLblPos val="nextTo"/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A6B70"/>
              </a:solidFill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1383D"/>
                </a:solidFill>
                <a:latin typeface="Microsoft YaHei"/>
              </a:defRPr>
            </a:pPr>
            <a:r>
              <a:rPr lang="en-US" sz="1200" b="1" baseline="0">
                <a:solidFill>
                  <a:srgbClr val="21383D"/>
                </a:solidFill>
                <a:latin typeface="Microsoft YaHei"/>
              </a:rPr>
              <a:t>退货金额率：常规退货约 2.4%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全部退货率</c:v>
          </c:tx>
          <c:spPr>
            <a:ln w="25400">
              <a:solidFill>
                <a:srgbClr val="E36414"/>
              </a:solidFill>
            </a:ln>
          </c:spPr>
          <c:marker>
            <c:symbol val="circle"/>
            <c:size val="4"/>
            <c:spPr>
              <a:solidFill>
                <a:srgbClr val="E36414"/>
              </a:solidFill>
              <a:ln>
                <a:noFill/>
              </a:ln>
            </c:spPr>
          </c:marker>
          <c:cat>
            <c:strRef>
              <c:f>'数据附表'!$A$5:$A$29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'数据附表'!$H$5:$H$29</c:f>
              <c:numCache>
                <c:formatCode>General</c:formatCode>
                <c:ptCount val="25"/>
                <c:pt idx="0">
                  <c:v>0.0244179346882211</c:v>
                </c:pt>
                <c:pt idx="1">
                  <c:v>0.0121619615940167</c:v>
                </c:pt>
                <c:pt idx="2">
                  <c:v>0.0233154495568299</c:v>
                </c:pt>
                <c:pt idx="3">
                  <c:v>0.0126347930127197</c:v>
                </c:pt>
                <c:pt idx="4">
                  <c:v>0.0154473889583497</c:v>
                </c:pt>
                <c:pt idx="5">
                  <c:v>0.0577625745922231</c:v>
                </c:pt>
                <c:pt idx="6">
                  <c:v>0.0377234458321146</c:v>
                </c:pt>
                <c:pt idx="7">
                  <c:v>0.0269850546936755</c:v>
                </c:pt>
                <c:pt idx="8">
                  <c:v>0.018369134062396</c:v>
                </c:pt>
                <c:pt idx="9">
                  <c:v>0.0318599151897042</c:v>
                </c:pt>
                <c:pt idx="10">
                  <c:v>0.0232692248021837</c:v>
                </c:pt>
                <c:pt idx="11">
                  <c:v>0.0244628865872115</c:v>
                </c:pt>
                <c:pt idx="12">
                  <c:v>0.0226697954529086</c:v>
                </c:pt>
                <c:pt idx="13">
                  <c:v>0.136213393477408</c:v>
                </c:pt>
                <c:pt idx="14">
                  <c:v>0.0164592201557047</c:v>
                </c:pt>
                <c:pt idx="15">
                  <c:v>0.0154433019551133</c:v>
                </c:pt>
                <c:pt idx="16">
                  <c:v>0.0645403728475467</c:v>
                </c:pt>
                <c:pt idx="17">
                  <c:v>0.0120727490989822</c:v>
                </c:pt>
                <c:pt idx="18">
                  <c:v>0.0186271474344965</c:v>
                </c:pt>
                <c:pt idx="19">
                  <c:v>0.0165503321870789</c:v>
                </c:pt>
                <c:pt idx="20">
                  <c:v>0.0316045394055382</c:v>
                </c:pt>
                <c:pt idx="21">
                  <c:v>0.016540599266206</c:v>
                </c:pt>
                <c:pt idx="22">
                  <c:v>0.0397518385384359</c:v>
                </c:pt>
                <c:pt idx="23">
                  <c:v>0.0171569999600684</c:v>
                </c:pt>
                <c:pt idx="24">
                  <c:v>0.2829060340497306</c:v>
                </c:pt>
              </c:numCache>
            </c:numRef>
          </c:val>
        </c:ser>
        <c:ser>
          <c:idx val="1"/>
          <c:order val="1"/>
          <c:tx>
            <c:v>剔除两笔批量退货</c:v>
          </c:tx>
          <c:spPr>
            <a:ln w="25400">
              <a:solidFill>
                <a:srgbClr val="0F4C5C"/>
              </a:solidFill>
              <a:prstDash val="dash"/>
            </a:ln>
          </c:spPr>
          <c:marker>
            <c:symbol val="none"/>
          </c:marker>
          <c:cat>
            <c:strRef>
              <c:f>'数据附表'!$A$5:$A$29</c:f>
              <c:strCache>
                <c:ptCount val="25"/>
                <c:pt idx="0">
                  <c:v>2009-12</c:v>
                </c:pt>
                <c:pt idx="1">
                  <c:v>2010-01</c:v>
                </c:pt>
                <c:pt idx="2">
                  <c:v>2010-02</c:v>
                </c:pt>
                <c:pt idx="3">
                  <c:v>2010-03</c:v>
                </c:pt>
                <c:pt idx="4">
                  <c:v>2010-04</c:v>
                </c:pt>
                <c:pt idx="5">
                  <c:v>2010-05</c:v>
                </c:pt>
                <c:pt idx="6">
                  <c:v>2010-06</c:v>
                </c:pt>
                <c:pt idx="7">
                  <c:v>2010-07</c:v>
                </c:pt>
                <c:pt idx="8">
                  <c:v>2010-08</c:v>
                </c:pt>
                <c:pt idx="9">
                  <c:v>2010-09</c:v>
                </c:pt>
                <c:pt idx="10">
                  <c:v>2010-10</c:v>
                </c:pt>
                <c:pt idx="11">
                  <c:v>2010-11</c:v>
                </c:pt>
                <c:pt idx="12">
                  <c:v>2010-12</c:v>
                </c:pt>
                <c:pt idx="13">
                  <c:v>2011-01</c:v>
                </c:pt>
                <c:pt idx="14">
                  <c:v>2011-02</c:v>
                </c:pt>
                <c:pt idx="15">
                  <c:v>2011-03</c:v>
                </c:pt>
                <c:pt idx="16">
                  <c:v>2011-04</c:v>
                </c:pt>
                <c:pt idx="17">
                  <c:v>2011-05</c:v>
                </c:pt>
                <c:pt idx="18">
                  <c:v>2011-06</c:v>
                </c:pt>
                <c:pt idx="19">
                  <c:v>2011-07</c:v>
                </c:pt>
                <c:pt idx="20">
                  <c:v>2011-08</c:v>
                </c:pt>
                <c:pt idx="21">
                  <c:v>2011-09</c:v>
                </c:pt>
                <c:pt idx="22">
                  <c:v>2011-10</c:v>
                </c:pt>
                <c:pt idx="23">
                  <c:v>2011-11</c:v>
                </c:pt>
                <c:pt idx="24">
                  <c:v>2011-12</c:v>
                </c:pt>
              </c:strCache>
            </c:strRef>
          </c:cat>
          <c:val>
            <c:numRef>
              <c:f>'数据附表'!$I$5:$I$29</c:f>
              <c:numCache>
                <c:formatCode>General</c:formatCode>
                <c:ptCount val="25"/>
                <c:pt idx="0">
                  <c:v>0.0244179346882211</c:v>
                </c:pt>
                <c:pt idx="1">
                  <c:v>0.0121619615940167</c:v>
                </c:pt>
                <c:pt idx="2">
                  <c:v>0.0233154495568299</c:v>
                </c:pt>
                <c:pt idx="3">
                  <c:v>0.0126347930127197</c:v>
                </c:pt>
                <c:pt idx="4">
                  <c:v>0.0154473889583497</c:v>
                </c:pt>
                <c:pt idx="5">
                  <c:v>0.0577625745922231</c:v>
                </c:pt>
                <c:pt idx="6">
                  <c:v>0.0377234458321146</c:v>
                </c:pt>
                <c:pt idx="7">
                  <c:v>0.0269850546936755</c:v>
                </c:pt>
                <c:pt idx="8">
                  <c:v>0.018369134062396</c:v>
                </c:pt>
                <c:pt idx="9">
                  <c:v>0.0318599151897042</c:v>
                </c:pt>
                <c:pt idx="10">
                  <c:v>0.0232692248021837</c:v>
                </c:pt>
                <c:pt idx="11">
                  <c:v>0.0244628865872115</c:v>
                </c:pt>
                <c:pt idx="12">
                  <c:v>0.0226697954529086</c:v>
                </c:pt>
                <c:pt idx="13">
                  <c:v>0.0213454257260308</c:v>
                </c:pt>
                <c:pt idx="14">
                  <c:v>0.0164592201557047</c:v>
                </c:pt>
                <c:pt idx="15">
                  <c:v>0.0154433019551133</c:v>
                </c:pt>
                <c:pt idx="16">
                  <c:v>0.0645403728475467</c:v>
                </c:pt>
                <c:pt idx="17">
                  <c:v>0.0120727490989822</c:v>
                </c:pt>
                <c:pt idx="18">
                  <c:v>0.0186271474344965</c:v>
                </c:pt>
                <c:pt idx="19">
                  <c:v>0.0165503321870789</c:v>
                </c:pt>
                <c:pt idx="20">
                  <c:v>0.0316045394055382</c:v>
                </c:pt>
                <c:pt idx="21">
                  <c:v>0.016540599266206</c:v>
                </c:pt>
                <c:pt idx="22">
                  <c:v>0.0397518385384359</c:v>
                </c:pt>
                <c:pt idx="23">
                  <c:v>0.0171569999600684</c:v>
                </c:pt>
                <c:pt idx="24">
                  <c:v>0.009191262156286399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D8E0E3"/>
            </a:solidFill>
          </a:ln>
        </c:spPr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tickLblSkip val="3"/>
      </c:cat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E8EFF1"/>
              </a:solidFill>
            </a:ln>
          </c:spPr>
        </c:majorGridlines>
        <c:numFmt formatCode="0.0%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A6B70"/>
              </a:solidFill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1383D"/>
                </a:solidFill>
                <a:latin typeface="Microsoft YaHei"/>
              </a:defRPr>
            </a:pPr>
            <a:r>
              <a:rPr lang="en-US" sz="1200" b="1" baseline="0">
                <a:solidFill>
                  <a:srgbClr val="21383D"/>
                </a:solidFill>
                <a:latin typeface="Microsoft YaHei"/>
              </a:rPr>
              <a:t>客户帕累托：前 20% 贡献 76.7% 营收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累计营收占比</c:v>
          </c:tx>
          <c:spPr>
            <a:ln w="31750">
              <a:solidFill>
                <a:srgbClr val="E36414"/>
              </a:solidFill>
            </a:ln>
          </c:spPr>
          <c:marker>
            <c:symbol val="none"/>
          </c:marker>
          <c:cat>
            <c:strRef>
              <c:f>'客户分析'!$A$17:$A$166</c:f>
              <c:strCache>
                <c:ptCount val="150"/>
                <c:pt idx="0">
                  <c:v>0.0001708817498291</c:v>
                </c:pt>
                <c:pt idx="1">
                  <c:v>0.0034176349965823</c:v>
                </c:pt>
                <c:pt idx="2">
                  <c:v>0.0068352699931647</c:v>
                </c:pt>
                <c:pt idx="3">
                  <c:v>0.0100820232399179</c:v>
                </c:pt>
                <c:pt idx="4">
                  <c:v>0.0134996582365003</c:v>
                </c:pt>
                <c:pt idx="5">
                  <c:v>0.0167464114832535</c:v>
                </c:pt>
                <c:pt idx="6">
                  <c:v>0.0201640464798359</c:v>
                </c:pt>
                <c:pt idx="7">
                  <c:v>0.0234107997265892</c:v>
                </c:pt>
                <c:pt idx="8">
                  <c:v>0.0268284347231715</c:v>
                </c:pt>
                <c:pt idx="9">
                  <c:v>0.0302460697197539</c:v>
                </c:pt>
                <c:pt idx="10">
                  <c:v>0.0334928229665071</c:v>
                </c:pt>
                <c:pt idx="11">
                  <c:v>0.0369104579630895</c:v>
                </c:pt>
                <c:pt idx="12">
                  <c:v>0.0401572112098427</c:v>
                </c:pt>
                <c:pt idx="13">
                  <c:v>0.0435748462064251</c:v>
                </c:pt>
                <c:pt idx="14">
                  <c:v>0.0468215994531784</c:v>
                </c:pt>
                <c:pt idx="15">
                  <c:v>0.0502392344497607</c:v>
                </c:pt>
                <c:pt idx="16">
                  <c:v>0.0536568694463431</c:v>
                </c:pt>
                <c:pt idx="17">
                  <c:v>0.0569036226930963</c:v>
                </c:pt>
                <c:pt idx="18">
                  <c:v>0.0603212576896787</c:v>
                </c:pt>
                <c:pt idx="19">
                  <c:v>首购月留存率（完整月份 cohort）</c:v>
                </c:pt>
                <c:pt idx="20">
                  <c:v>首购月</c:v>
                </c:pt>
                <c:pt idx="21">
                  <c:v>2009-12</c:v>
                </c:pt>
                <c:pt idx="22">
                  <c:v>2010-01</c:v>
                </c:pt>
                <c:pt idx="23">
                  <c:v>2010-02</c:v>
                </c:pt>
                <c:pt idx="24">
                  <c:v>2010-03</c:v>
                </c:pt>
                <c:pt idx="25">
                  <c:v>2010-04</c:v>
                </c:pt>
                <c:pt idx="26">
                  <c:v>2010-05</c:v>
                </c:pt>
                <c:pt idx="27">
                  <c:v>2010-06</c:v>
                </c:pt>
                <c:pt idx="28">
                  <c:v>2010-07</c:v>
                </c:pt>
                <c:pt idx="29">
                  <c:v>2010-08</c:v>
                </c:pt>
                <c:pt idx="30">
                  <c:v>2010-09</c:v>
                </c:pt>
                <c:pt idx="31">
                  <c:v>2010-10</c:v>
                </c:pt>
                <c:pt idx="32">
                  <c:v>2010-11</c:v>
                </c:pt>
                <c:pt idx="33">
                  <c:v>2010-12</c:v>
                </c:pt>
                <c:pt idx="34">
                  <c:v>2011-01</c:v>
                </c:pt>
                <c:pt idx="35">
                  <c:v>2011-02</c:v>
                </c:pt>
                <c:pt idx="36">
                  <c:v>2011-03</c:v>
                </c:pt>
                <c:pt idx="37">
                  <c:v>2011-04</c:v>
                </c:pt>
                <c:pt idx="38">
                  <c:v>2011-05</c:v>
                </c:pt>
                <c:pt idx="39">
                  <c:v>0.1305536568694463</c:v>
                </c:pt>
                <c:pt idx="40">
                  <c:v>0.1338004101161996</c:v>
                </c:pt>
                <c:pt idx="41">
                  <c:v>0.1372180451127819</c:v>
                </c:pt>
                <c:pt idx="42">
                  <c:v>0.1404647983595352</c:v>
                </c:pt>
                <c:pt idx="43">
                  <c:v>0.1438824333561175</c:v>
                </c:pt>
                <c:pt idx="44">
                  <c:v>0.1473000683526999</c:v>
                </c:pt>
                <c:pt idx="45">
                  <c:v>0.1505468215994531</c:v>
                </c:pt>
                <c:pt idx="46">
                  <c:v>0.1539644565960355</c:v>
                </c:pt>
                <c:pt idx="47">
                  <c:v>0.1572112098427888</c:v>
                </c:pt>
                <c:pt idx="48">
                  <c:v>0.1606288448393711</c:v>
                </c:pt>
                <c:pt idx="49">
                  <c:v>0.1638755980861244</c:v>
                </c:pt>
                <c:pt idx="50">
                  <c:v>0.1672932330827067</c:v>
                </c:pt>
                <c:pt idx="51">
                  <c:v>0.17053998632946</c:v>
                </c:pt>
                <c:pt idx="52">
                  <c:v>0.1739576213260423</c:v>
                </c:pt>
                <c:pt idx="53">
                  <c:v>0.1773752563226247</c:v>
                </c:pt>
                <c:pt idx="54">
                  <c:v>0.180622009569378</c:v>
                </c:pt>
                <c:pt idx="55">
                  <c:v>0.1840396445659603</c:v>
                </c:pt>
                <c:pt idx="56">
                  <c:v>0.1872863978127136</c:v>
                </c:pt>
                <c:pt idx="57">
                  <c:v>0.1907040328092959</c:v>
                </c:pt>
                <c:pt idx="58">
                  <c:v>0.1939507860560492</c:v>
                </c:pt>
                <c:pt idx="59">
                  <c:v>0.1973684210526315</c:v>
                </c:pt>
                <c:pt idx="60">
                  <c:v>0.2007860560492139</c:v>
                </c:pt>
                <c:pt idx="61">
                  <c:v>0.2040328092959671</c:v>
                </c:pt>
                <c:pt idx="62">
                  <c:v>0.2074504442925495</c:v>
                </c:pt>
                <c:pt idx="63">
                  <c:v>0.2106971975393028</c:v>
                </c:pt>
                <c:pt idx="64">
                  <c:v>0.2141148325358851</c:v>
                </c:pt>
                <c:pt idx="65">
                  <c:v>0.2173615857826384</c:v>
                </c:pt>
                <c:pt idx="66">
                  <c:v>0.2207792207792207</c:v>
                </c:pt>
                <c:pt idx="67">
                  <c:v>0.2241968557758031</c:v>
                </c:pt>
                <c:pt idx="68">
                  <c:v>0.2274436090225564</c:v>
                </c:pt>
                <c:pt idx="69">
                  <c:v>0.2308612440191387</c:v>
                </c:pt>
                <c:pt idx="70">
                  <c:v>0.234107997265892</c:v>
                </c:pt>
                <c:pt idx="71">
                  <c:v>0.2375256322624743</c:v>
                </c:pt>
                <c:pt idx="72">
                  <c:v>0.2407723855092276</c:v>
                </c:pt>
                <c:pt idx="73">
                  <c:v>0.2441900205058099</c:v>
                </c:pt>
                <c:pt idx="74">
                  <c:v>0.2476076555023923</c:v>
                </c:pt>
                <c:pt idx="75">
                  <c:v>0.2508544087491456</c:v>
                </c:pt>
                <c:pt idx="76">
                  <c:v>0.254272043745728</c:v>
                </c:pt>
                <c:pt idx="77">
                  <c:v>0.2575187969924812</c:v>
                </c:pt>
                <c:pt idx="78">
                  <c:v>0.2609364319890636</c:v>
                </c:pt>
                <c:pt idx="79">
                  <c:v>0.2641831852358168</c:v>
                </c:pt>
                <c:pt idx="80">
                  <c:v>0.2676008202323992</c:v>
                </c:pt>
                <c:pt idx="81">
                  <c:v>0.2710184552289815</c:v>
                </c:pt>
                <c:pt idx="82">
                  <c:v>0.2742652084757347</c:v>
                </c:pt>
                <c:pt idx="83">
                  <c:v>0.2776828434723171</c:v>
                </c:pt>
                <c:pt idx="84">
                  <c:v>0.2809295967190704</c:v>
                </c:pt>
                <c:pt idx="85">
                  <c:v>0.2843472317156528</c:v>
                </c:pt>
                <c:pt idx="86">
                  <c:v>0.287593984962406</c:v>
                </c:pt>
                <c:pt idx="87">
                  <c:v>0.2910116199589884</c:v>
                </c:pt>
                <c:pt idx="88">
                  <c:v>0.2944292549555707</c:v>
                </c:pt>
                <c:pt idx="89">
                  <c:v>0.297676008202324</c:v>
                </c:pt>
                <c:pt idx="90">
                  <c:v>0.3010936431989063</c:v>
                </c:pt>
                <c:pt idx="91">
                  <c:v>0.3043403964456596</c:v>
                </c:pt>
                <c:pt idx="92">
                  <c:v>0.3077580314422419</c:v>
                </c:pt>
                <c:pt idx="93">
                  <c:v>0.3110047846889952</c:v>
                </c:pt>
                <c:pt idx="94">
                  <c:v>0.3144224196855776</c:v>
                </c:pt>
                <c:pt idx="95">
                  <c:v>0.3178400546821599</c:v>
                </c:pt>
                <c:pt idx="96">
                  <c:v>0.3210868079289132</c:v>
                </c:pt>
                <c:pt idx="97">
                  <c:v>0.3245044429254956</c:v>
                </c:pt>
                <c:pt idx="98">
                  <c:v>0.3277511961722488</c:v>
                </c:pt>
                <c:pt idx="99">
                  <c:v>0.3311688311688311</c:v>
                </c:pt>
                <c:pt idx="100">
                  <c:v>0.3344155844155844</c:v>
                </c:pt>
                <c:pt idx="101">
                  <c:v>0.3378332194121667</c:v>
                </c:pt>
                <c:pt idx="102">
                  <c:v>0.34107997265892</c:v>
                </c:pt>
                <c:pt idx="103">
                  <c:v>0.3444976076555024</c:v>
                </c:pt>
                <c:pt idx="104">
                  <c:v>0.3479152426520847</c:v>
                </c:pt>
                <c:pt idx="105">
                  <c:v>0.351161995898838</c:v>
                </c:pt>
                <c:pt idx="106">
                  <c:v>0.3545796308954204</c:v>
                </c:pt>
                <c:pt idx="107">
                  <c:v>0.3578263841421736</c:v>
                </c:pt>
                <c:pt idx="108">
                  <c:v>0.361244019138756</c:v>
                </c:pt>
                <c:pt idx="109">
                  <c:v>0.3644907723855092</c:v>
                </c:pt>
                <c:pt idx="110">
                  <c:v>0.3679084073820916</c:v>
                </c:pt>
                <c:pt idx="111">
                  <c:v>0.3713260423786739</c:v>
                </c:pt>
                <c:pt idx="112">
                  <c:v>0.3745727956254272</c:v>
                </c:pt>
                <c:pt idx="113">
                  <c:v>0.3779904306220095</c:v>
                </c:pt>
                <c:pt idx="114">
                  <c:v>0.3812371838687628</c:v>
                </c:pt>
                <c:pt idx="115">
                  <c:v>0.3846548188653452</c:v>
                </c:pt>
                <c:pt idx="116">
                  <c:v>0.3879015721120984</c:v>
                </c:pt>
                <c:pt idx="117">
                  <c:v>0.3913192071086808</c:v>
                </c:pt>
                <c:pt idx="118">
                  <c:v>0.3947368421052631</c:v>
                </c:pt>
                <c:pt idx="119">
                  <c:v>0.3979835953520164</c:v>
                </c:pt>
                <c:pt idx="120">
                  <c:v>0.4014012303485987</c:v>
                </c:pt>
                <c:pt idx="121">
                  <c:v>0.404647983595352</c:v>
                </c:pt>
                <c:pt idx="122">
                  <c:v>0.4080656185919343</c:v>
                </c:pt>
                <c:pt idx="123">
                  <c:v>0.4113123718386876</c:v>
                </c:pt>
                <c:pt idx="124">
                  <c:v>0.41473000683527</c:v>
                </c:pt>
                <c:pt idx="125">
                  <c:v>0.4181476418318524</c:v>
                </c:pt>
                <c:pt idx="126">
                  <c:v>0.4213943950786056</c:v>
                </c:pt>
                <c:pt idx="127">
                  <c:v>0.424812030075188</c:v>
                </c:pt>
                <c:pt idx="128">
                  <c:v>0.4280587833219412</c:v>
                </c:pt>
                <c:pt idx="129">
                  <c:v>0.4314764183185235</c:v>
                </c:pt>
                <c:pt idx="130">
                  <c:v>0.4347231715652768</c:v>
                </c:pt>
                <c:pt idx="131">
                  <c:v>0.4381408065618592</c:v>
                </c:pt>
                <c:pt idx="132">
                  <c:v>0.4415584415584415</c:v>
                </c:pt>
                <c:pt idx="133">
                  <c:v>0.4448051948051948</c:v>
                </c:pt>
                <c:pt idx="134">
                  <c:v>0.4482228298017772</c:v>
                </c:pt>
                <c:pt idx="135">
                  <c:v>0.4514695830485304</c:v>
                </c:pt>
                <c:pt idx="136">
                  <c:v>0.4548872180451128</c:v>
                </c:pt>
                <c:pt idx="137">
                  <c:v>0.458133971291866</c:v>
                </c:pt>
                <c:pt idx="138">
                  <c:v>0.4615516062884484</c:v>
                </c:pt>
                <c:pt idx="139">
                  <c:v>0.4649692412850307</c:v>
                </c:pt>
                <c:pt idx="140">
                  <c:v>0.468215994531784</c:v>
                </c:pt>
                <c:pt idx="141">
                  <c:v>0.4716336295283663</c:v>
                </c:pt>
                <c:pt idx="142">
                  <c:v>0.4748803827751196</c:v>
                </c:pt>
                <c:pt idx="143">
                  <c:v>0.478298017771702</c:v>
                </c:pt>
                <c:pt idx="144">
                  <c:v>0.4815447710184552</c:v>
                </c:pt>
                <c:pt idx="145">
                  <c:v>0.4849624060150376</c:v>
                </c:pt>
                <c:pt idx="146">
                  <c:v>0.4883800410116199</c:v>
                </c:pt>
                <c:pt idx="147">
                  <c:v>0.4916267942583732</c:v>
                </c:pt>
                <c:pt idx="148">
                  <c:v>0.4950444292549555</c:v>
                </c:pt>
                <c:pt idx="149">
                  <c:v>0.4982911825017088</c:v>
                </c:pt>
              </c:strCache>
            </c:strRef>
          </c:cat>
          <c:val>
            <c:numRef>
              <c:f>'客户分析'!$B$17:$B$166</c:f>
              <c:numCache>
                <c:formatCode>General</c:formatCode>
                <c:ptCount val="150"/>
                <c:pt idx="0">
                  <c:v>0.0352428617541393</c:v>
                </c:pt>
                <c:pt idx="1">
                  <c:v>0.2154281396518533</c:v>
                </c:pt>
                <c:pt idx="2">
                  <c:v>0.2753236677080981</c:v>
                </c:pt>
                <c:pt idx="3">
                  <c:v>0.3113396734258409</c:v>
                </c:pt>
                <c:pt idx="4">
                  <c:v>0.3409903820701435</c:v>
                </c:pt>
                <c:pt idx="5">
                  <c:v>0.3645890951991211</c:v>
                </c:pt>
                <c:pt idx="6">
                  <c:v>0.3856576566407315</c:v>
                </c:pt>
                <c:pt idx="7">
                  <c:v>0.4040267301421958</c:v>
                </c:pt>
                <c:pt idx="8">
                  <c:v>0.4211238800996756</c:v>
                </c:pt>
                <c:pt idx="9">
                  <c:v>0.4368331194422243</c:v>
                </c:pt>
                <c:pt idx="10">
                  <c:v>0.4509137619081839</c:v>
                </c:pt>
                <c:pt idx="11">
                  <c:v>0.4648607071157415</c:v>
                </c:pt>
                <c:pt idx="12">
                  <c:v>0.477114608463236</c:v>
                </c:pt>
                <c:pt idx="13">
                  <c:v>0.4892779204358181</c:v>
                </c:pt>
                <c:pt idx="14">
                  <c:v>0.5004402245682142</c:v>
                </c:pt>
                <c:pt idx="15">
                  <c:v>0.5116517132059891</c:v>
                </c:pt>
                <c:pt idx="16">
                  <c:v>0.5223094462919401</c:v>
                </c:pt>
                <c:pt idx="17">
                  <c:v>0.5320363375406028</c:v>
                </c:pt>
                <c:pt idx="18">
                  <c:v>0.541950047896939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0.6821613318767326</c:v>
                </c:pt>
                <c:pt idx="40">
                  <c:v>0.6869600748522395</c:v>
                </c:pt>
                <c:pt idx="41">
                  <c:v>0.691908544743088</c:v>
                </c:pt>
                <c:pt idx="42">
                  <c:v>0.69650718875791</c:v>
                </c:pt>
                <c:pt idx="43">
                  <c:v>0.7012459039949948</c:v>
                </c:pt>
                <c:pt idx="44">
                  <c:v>0.705889907893156</c:v>
                </c:pt>
                <c:pt idx="45">
                  <c:v>0.710209259447162</c:v>
                </c:pt>
                <c:pt idx="46">
                  <c:v>0.7146488413492127</c:v>
                </c:pt>
                <c:pt idx="47">
                  <c:v>0.7187832767232317</c:v>
                </c:pt>
                <c:pt idx="48">
                  <c:v>0.7230403576785756</c:v>
                </c:pt>
                <c:pt idx="49">
                  <c:v>0.7270136074428869</c:v>
                </c:pt>
                <c:pt idx="50">
                  <c:v>0.7311234687825053</c:v>
                </c:pt>
                <c:pt idx="51">
                  <c:v>0.7349561915626793</c:v>
                </c:pt>
                <c:pt idx="52">
                  <c:v>0.7389400207299649</c:v>
                </c:pt>
                <c:pt idx="53">
                  <c:v>0.7428263022327585</c:v>
                </c:pt>
                <c:pt idx="54">
                  <c:v>0.7464665771242488</c:v>
                </c:pt>
                <c:pt idx="55">
                  <c:v>0.7502421407848576</c:v>
                </c:pt>
                <c:pt idx="56">
                  <c:v>0.7537771931768695</c:v>
                </c:pt>
                <c:pt idx="57">
                  <c:v>0.7574488577534962</c:v>
                </c:pt>
                <c:pt idx="58">
                  <c:v>0.7608804456195063</c:v>
                </c:pt>
                <c:pt idx="59">
                  <c:v>0.7644167099237755</c:v>
                </c:pt>
                <c:pt idx="60">
                  <c:v>0.7678986422944377</c:v>
                </c:pt>
                <c:pt idx="61">
                  <c:v>0.7711511509617814</c:v>
                </c:pt>
                <c:pt idx="62">
                  <c:v>0.7745151689615174</c:v>
                </c:pt>
                <c:pt idx="63">
                  <c:v>0.7776602640602651</c:v>
                </c:pt>
                <c:pt idx="64">
                  <c:v>0.7808691402914488</c:v>
                </c:pt>
                <c:pt idx="65">
                  <c:v>0.7838638211761993</c:v>
                </c:pt>
                <c:pt idx="66">
                  <c:v>0.7869662001760636</c:v>
                </c:pt>
                <c:pt idx="67">
                  <c:v>0.790014880312625</c:v>
                </c:pt>
                <c:pt idx="68">
                  <c:v>0.7928709169728531</c:v>
                </c:pt>
                <c:pt idx="69">
                  <c:v>0.7958264565647587</c:v>
                </c:pt>
                <c:pt idx="70">
                  <c:v>0.7985903690049383</c:v>
                </c:pt>
                <c:pt idx="71">
                  <c:v>0.8014396423539288</c:v>
                </c:pt>
                <c:pt idx="72">
                  <c:v>0.8041013788312239</c:v>
                </c:pt>
                <c:pt idx="73">
                  <c:v>0.8068664026479531</c:v>
                </c:pt>
                <c:pt idx="74">
                  <c:v>0.8095869019416769</c:v>
                </c:pt>
                <c:pt idx="75">
                  <c:v>0.81212119265366</c:v>
                </c:pt>
                <c:pt idx="76">
                  <c:v>0.8147493757955301</c:v>
                </c:pt>
                <c:pt idx="77">
                  <c:v>0.8172137296041673</c:v>
                </c:pt>
                <c:pt idx="78">
                  <c:v>0.8197694417335532</c:v>
                </c:pt>
                <c:pt idx="79">
                  <c:v>0.822164591635549</c:v>
                </c:pt>
                <c:pt idx="80">
                  <c:v>0.8246533756211291</c:v>
                </c:pt>
                <c:pt idx="81">
                  <c:v>0.8271111391618075</c:v>
                </c:pt>
                <c:pt idx="82">
                  <c:v>0.8294170852537335</c:v>
                </c:pt>
                <c:pt idx="83">
                  <c:v>0.8318126050052718</c:v>
                </c:pt>
                <c:pt idx="84">
                  <c:v>0.8340515803018794</c:v>
                </c:pt>
                <c:pt idx="85">
                  <c:v>0.8363684445716492</c:v>
                </c:pt>
                <c:pt idx="86">
                  <c:v>0.8385259299497726</c:v>
                </c:pt>
                <c:pt idx="87">
                  <c:v>0.8407605182336857</c:v>
                </c:pt>
                <c:pt idx="88">
                  <c:v>0.8429717877172054</c:v>
                </c:pt>
                <c:pt idx="89">
                  <c:v>0.8450451977640292</c:v>
                </c:pt>
                <c:pt idx="90">
                  <c:v>0.8471954225752119</c:v>
                </c:pt>
                <c:pt idx="91">
                  <c:v>0.8492102739235591</c:v>
                </c:pt>
                <c:pt idx="92">
                  <c:v>0.8513056744808216</c:v>
                </c:pt>
                <c:pt idx="93">
                  <c:v>0.8532797199087294</c:v>
                </c:pt>
                <c:pt idx="94">
                  <c:v>0.8553307677676502</c:v>
                </c:pt>
                <c:pt idx="95">
                  <c:v>0.8573522757984543</c:v>
                </c:pt>
                <c:pt idx="96">
                  <c:v>0.859241248519913</c:v>
                </c:pt>
                <c:pt idx="97">
                  <c:v>0.8612067094170078</c:v>
                </c:pt>
                <c:pt idx="98">
                  <c:v>0.8630474706968756</c:v>
                </c:pt>
                <c:pt idx="99">
                  <c:v>0.8649531506250127</c:v>
                </c:pt>
                <c:pt idx="100">
                  <c:v>0.8667409277590625</c:v>
                </c:pt>
                <c:pt idx="101">
                  <c:v>0.8685994540031139</c:v>
                </c:pt>
                <c:pt idx="102">
                  <c:v>0.8703452200068478</c:v>
                </c:pt>
                <c:pt idx="103">
                  <c:v>0.8721497323757127</c:v>
                </c:pt>
                <c:pt idx="104">
                  <c:v>0.8739255896306872</c:v>
                </c:pt>
                <c:pt idx="105">
                  <c:v>0.8755933820284728</c:v>
                </c:pt>
                <c:pt idx="106">
                  <c:v>0.8773266675903981</c:v>
                </c:pt>
                <c:pt idx="107">
                  <c:v>0.8789502583371265</c:v>
                </c:pt>
                <c:pt idx="108">
                  <c:v>0.8806352081587679</c:v>
                </c:pt>
                <c:pt idx="109">
                  <c:v>0.8822148191032335</c:v>
                </c:pt>
                <c:pt idx="110">
                  <c:v>0.8838559481518224</c:v>
                </c:pt>
                <c:pt idx="111">
                  <c:v>0.8854692781633043</c:v>
                </c:pt>
                <c:pt idx="112">
                  <c:v>0.8869848375038154</c:v>
                </c:pt>
                <c:pt idx="113">
                  <c:v>0.8885597872472931</c:v>
                </c:pt>
                <c:pt idx="114">
                  <c:v>0.8900369705849517</c:v>
                </c:pt>
                <c:pt idx="115">
                  <c:v>0.8915776979735686</c:v>
                </c:pt>
                <c:pt idx="116">
                  <c:v>0.8930270847113488</c:v>
                </c:pt>
                <c:pt idx="117">
                  <c:v>0.8945339656877201</c:v>
                </c:pt>
                <c:pt idx="118">
                  <c:v>0.8960159125899961</c:v>
                </c:pt>
                <c:pt idx="119">
                  <c:v>0.8974037062788527</c:v>
                </c:pt>
                <c:pt idx="120">
                  <c:v>0.8988468920960508</c:v>
                </c:pt>
                <c:pt idx="121">
                  <c:v>0.9002059916753484</c:v>
                </c:pt>
                <c:pt idx="122">
                  <c:v>0.9016196675204881</c:v>
                </c:pt>
                <c:pt idx="123">
                  <c:v>0.9029456140792688</c:v>
                </c:pt>
                <c:pt idx="124">
                  <c:v>0.9043267431646737</c:v>
                </c:pt>
                <c:pt idx="125">
                  <c:v>0.9056951444294984</c:v>
                </c:pt>
                <c:pt idx="126">
                  <c:v>0.9069815841110432</c:v>
                </c:pt>
                <c:pt idx="127">
                  <c:v>0.9083209244633034</c:v>
                </c:pt>
                <c:pt idx="128">
                  <c:v>0.90957408865356</c:v>
                </c:pt>
                <c:pt idx="129">
                  <c:v>0.9108800694301226</c:v>
                </c:pt>
                <c:pt idx="130">
                  <c:v>0.9121060646070396</c:v>
                </c:pt>
                <c:pt idx="131">
                  <c:v>0.913385428402693</c:v>
                </c:pt>
                <c:pt idx="132">
                  <c:v>0.9146504722577424</c:v>
                </c:pt>
                <c:pt idx="133">
                  <c:v>0.9158377642947072</c:v>
                </c:pt>
                <c:pt idx="134">
                  <c:v>0.917072102716739</c:v>
                </c:pt>
                <c:pt idx="135">
                  <c:v>0.9182342601565699</c:v>
                </c:pt>
                <c:pt idx="136">
                  <c:v>0.9194459884026204</c:v>
                </c:pt>
                <c:pt idx="137">
                  <c:v>0.920581060304214</c:v>
                </c:pt>
                <c:pt idx="138">
                  <c:v>0.921759241307912</c:v>
                </c:pt>
                <c:pt idx="139">
                  <c:v>0.92292156082349</c:v>
                </c:pt>
                <c:pt idx="140">
                  <c:v>0.9240143675136157</c:v>
                </c:pt>
                <c:pt idx="141">
                  <c:v>0.92515279791715</c:v>
                </c:pt>
                <c:pt idx="142">
                  <c:v>0.926223066938865</c:v>
                </c:pt>
                <c:pt idx="143">
                  <c:v>0.9273401130927428</c:v>
                </c:pt>
                <c:pt idx="144">
                  <c:v>0.9283872619482506</c:v>
                </c:pt>
                <c:pt idx="145">
                  <c:v>0.9294807498439588</c:v>
                </c:pt>
                <c:pt idx="146">
                  <c:v>0.9305637326721858</c:v>
                </c:pt>
                <c:pt idx="147">
                  <c:v>0.9315772349682488</c:v>
                </c:pt>
                <c:pt idx="148">
                  <c:v>0.932630426324436</c:v>
                </c:pt>
                <c:pt idx="149">
                  <c:v>0.9336171367683892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0%" sourceLinked="0"/>
        <c:tickLblPos val="nextTo"/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%" sourceLinked="0"/>
        <c:tickLblPos val="nextTo"/>
        <c:txPr>
          <a:bodyPr/>
          <a:lstStyle/>
          <a:p>
            <a:pPr>
              <a:defRPr sz="800" baseline="0">
                <a:solidFill>
                  <a:srgbClr val="5A6B70"/>
                </a:solidFill>
                <a:latin typeface="Microsoft YaHe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5A6B70"/>
              </a:solidFill>
              <a:latin typeface="Microsoft YaHe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57150</xdr:rowOff>
    </xdr:from>
    <xdr:to>
      <xdr:col>6</xdr:col>
      <xdr:colOff>581025</xdr:colOff>
      <xdr:row>23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8</xdr:row>
      <xdr:rowOff>57150</xdr:rowOff>
    </xdr:from>
    <xdr:to>
      <xdr:col>13</xdr:col>
      <xdr:colOff>533400</xdr:colOff>
      <xdr:row>23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26</xdr:row>
      <xdr:rowOff>57150</xdr:rowOff>
    </xdr:from>
    <xdr:to>
      <xdr:col>6</xdr:col>
      <xdr:colOff>581025</xdr:colOff>
      <xdr:row>41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26</xdr:row>
      <xdr:rowOff>57150</xdr:rowOff>
    </xdr:from>
    <xdr:to>
      <xdr:col>13</xdr:col>
      <xdr:colOff>533400</xdr:colOff>
      <xdr:row>41</xdr:row>
      <xdr:rowOff>152400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6</xdr:row>
      <xdr:rowOff>57150</xdr:rowOff>
    </xdr:from>
    <xdr:to>
      <xdr:col>9</xdr:col>
      <xdr:colOff>447675</xdr:colOff>
      <xdr:row>22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35"/>
  <sheetViews>
    <sheetView showGridLines="0" tabSelected="1" workbookViewId="0"/>
  </sheetViews>
  <sheetFormatPr defaultRowHeight="15"/>
  <cols>
    <col min="1" max="1" width="3.7109375" customWidth="1"/>
    <col min="2" max="7" width="18.7109375" customWidth="1"/>
  </cols>
  <sheetData>
    <row r="2" spans="2:7" ht="10" customHeight="1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1"/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spans="2:7" ht="30" customHeight="1">
      <c r="B6" s="2" t="s">
        <v>1</v>
      </c>
      <c r="C6" s="2"/>
      <c r="D6" s="2"/>
      <c r="E6" s="2"/>
      <c r="F6" s="2"/>
      <c r="G6" s="2"/>
    </row>
    <row r="8" spans="2:7" ht="26" customHeight="1">
      <c r="B8" s="3" t="s">
        <v>2</v>
      </c>
      <c r="C8" s="3"/>
      <c r="D8" s="3"/>
      <c r="E8" s="3"/>
      <c r="F8" s="3"/>
      <c r="G8" s="3"/>
    </row>
    <row r="9" spans="2:7" ht="26" customHeight="1">
      <c r="B9" s="3"/>
      <c r="C9" s="3"/>
      <c r="D9" s="3"/>
      <c r="E9" s="3"/>
      <c r="F9" s="3"/>
      <c r="G9" s="3"/>
    </row>
    <row r="10" spans="2:7" ht="26" customHeight="1">
      <c r="B10" s="3"/>
      <c r="C10" s="3"/>
      <c r="D10" s="3"/>
      <c r="E10" s="3"/>
      <c r="F10" s="3"/>
      <c r="G10" s="3"/>
    </row>
    <row r="13" spans="2:7">
      <c r="B13" s="4" t="s">
        <v>3</v>
      </c>
      <c r="C13" s="4"/>
      <c r="D13" s="4" t="s">
        <v>6</v>
      </c>
      <c r="E13" s="4"/>
      <c r="F13" s="4" t="s">
        <v>9</v>
      </c>
      <c r="G13" s="4"/>
    </row>
    <row r="14" spans="2:7">
      <c r="B14" s="5" t="s">
        <v>4</v>
      </c>
      <c r="C14" s="5"/>
      <c r="D14" s="5" t="s">
        <v>7</v>
      </c>
      <c r="E14" s="5"/>
      <c r="F14" s="5" t="s">
        <v>10</v>
      </c>
      <c r="G14" s="5"/>
    </row>
    <row r="15" spans="2:7">
      <c r="B15" s="5"/>
      <c r="C15" s="5"/>
      <c r="D15" s="5"/>
      <c r="E15" s="5"/>
      <c r="F15" s="5"/>
      <c r="G15" s="5"/>
    </row>
    <row r="16" spans="2:7">
      <c r="B16" s="6" t="s">
        <v>5</v>
      </c>
      <c r="C16" s="6"/>
      <c r="D16" s="6" t="s">
        <v>8</v>
      </c>
      <c r="E16" s="6"/>
      <c r="F16" s="6" t="s">
        <v>11</v>
      </c>
      <c r="G16" s="6"/>
    </row>
    <row r="18" spans="2:7">
      <c r="B18" s="4" t="s">
        <v>12</v>
      </c>
      <c r="C18" s="4"/>
      <c r="D18" s="4" t="s">
        <v>15</v>
      </c>
      <c r="E18" s="4"/>
      <c r="F18" s="4" t="s">
        <v>18</v>
      </c>
      <c r="G18" s="4"/>
    </row>
    <row r="19" spans="2:7">
      <c r="B19" s="5" t="s">
        <v>13</v>
      </c>
      <c r="C19" s="5"/>
      <c r="D19" s="5" t="s">
        <v>16</v>
      </c>
      <c r="E19" s="5"/>
      <c r="F19" s="5" t="s">
        <v>19</v>
      </c>
      <c r="G19" s="5"/>
    </row>
    <row r="20" spans="2:7">
      <c r="B20" s="5"/>
      <c r="C20" s="5"/>
      <c r="D20" s="5"/>
      <c r="E20" s="5"/>
      <c r="F20" s="5"/>
      <c r="G20" s="5"/>
    </row>
    <row r="21" spans="2:7">
      <c r="B21" s="6" t="s">
        <v>14</v>
      </c>
      <c r="C21" s="6"/>
      <c r="D21" s="6" t="s">
        <v>17</v>
      </c>
      <c r="E21" s="6"/>
      <c r="F21" s="6" t="s">
        <v>20</v>
      </c>
      <c r="G21" s="6"/>
    </row>
    <row r="22" spans="2:7">
      <c r="B22" s="7" t="s">
        <v>21</v>
      </c>
      <c r="C22" s="7"/>
      <c r="D22" s="7"/>
      <c r="E22" s="7"/>
      <c r="F22" s="7"/>
      <c r="G22" s="7"/>
    </row>
    <row r="24" spans="2:7">
      <c r="B24" s="8" t="s">
        <v>22</v>
      </c>
      <c r="C24" s="9" t="s">
        <v>23</v>
      </c>
      <c r="D24" s="9"/>
      <c r="E24" s="9"/>
      <c r="F24" s="9"/>
      <c r="G24" s="9"/>
    </row>
    <row r="25" spans="2:7">
      <c r="B25" s="8" t="s">
        <v>24</v>
      </c>
      <c r="C25" s="9" t="s">
        <v>25</v>
      </c>
      <c r="D25" s="9"/>
      <c r="E25" s="9"/>
      <c r="F25" s="9"/>
      <c r="G25" s="9"/>
    </row>
    <row r="26" spans="2:7">
      <c r="B26" s="8" t="s">
        <v>26</v>
      </c>
      <c r="C26" s="9" t="s">
        <v>27</v>
      </c>
      <c r="D26" s="9"/>
      <c r="E26" s="9"/>
      <c r="F26" s="9"/>
      <c r="G26" s="9"/>
    </row>
    <row r="27" spans="2:7">
      <c r="B27" s="8" t="s">
        <v>28</v>
      </c>
      <c r="C27" s="9" t="s">
        <v>29</v>
      </c>
      <c r="D27" s="9"/>
      <c r="E27" s="9"/>
      <c r="F27" s="9"/>
      <c r="G27" s="9"/>
    </row>
    <row r="28" spans="2:7">
      <c r="B28" s="8" t="s">
        <v>30</v>
      </c>
      <c r="C28" s="9" t="s">
        <v>31</v>
      </c>
      <c r="D28" s="9"/>
      <c r="E28" s="9"/>
      <c r="F28" s="9"/>
      <c r="G28" s="9"/>
    </row>
    <row r="29" spans="2:7">
      <c r="B29" s="8" t="s">
        <v>32</v>
      </c>
      <c r="C29" s="9" t="s">
        <v>33</v>
      </c>
      <c r="D29" s="9"/>
      <c r="E29" s="9"/>
      <c r="F29" s="9"/>
      <c r="G29" s="9"/>
    </row>
    <row r="30" spans="2:7">
      <c r="B30" s="8" t="s">
        <v>34</v>
      </c>
      <c r="C30" s="9" t="s">
        <v>35</v>
      </c>
      <c r="D30" s="9"/>
      <c r="E30" s="9"/>
      <c r="F30" s="9"/>
      <c r="G30" s="9"/>
    </row>
    <row r="32" spans="2:7">
      <c r="B32" s="10" t="s">
        <v>36</v>
      </c>
      <c r="C32" s="10"/>
      <c r="D32" s="10"/>
      <c r="E32" s="10"/>
      <c r="F32" s="10"/>
      <c r="G32" s="10"/>
    </row>
    <row r="33" spans="2:7">
      <c r="B33" s="10"/>
      <c r="C33" s="10"/>
      <c r="D33" s="10"/>
      <c r="E33" s="10"/>
      <c r="F33" s="10"/>
      <c r="G33" s="10"/>
    </row>
    <row r="34" spans="2:7">
      <c r="B34" s="10"/>
      <c r="C34" s="10"/>
      <c r="D34" s="10"/>
      <c r="E34" s="10"/>
      <c r="F34" s="10"/>
      <c r="G34" s="10"/>
    </row>
    <row r="35" spans="2:7">
      <c r="B35" s="10"/>
      <c r="C35" s="10"/>
      <c r="D35" s="10"/>
      <c r="E35" s="10"/>
      <c r="F35" s="10"/>
      <c r="G35" s="10"/>
    </row>
  </sheetData>
  <mergeCells count="30">
    <mergeCell ref="B2:G5"/>
    <mergeCell ref="B6:G6"/>
    <mergeCell ref="B8:G10"/>
    <mergeCell ref="B13:C13"/>
    <mergeCell ref="B14:C15"/>
    <mergeCell ref="B16:C16"/>
    <mergeCell ref="D13:E13"/>
    <mergeCell ref="D14:E15"/>
    <mergeCell ref="D16:E16"/>
    <mergeCell ref="F13:G13"/>
    <mergeCell ref="F14:G15"/>
    <mergeCell ref="F16:G16"/>
    <mergeCell ref="B18:C18"/>
    <mergeCell ref="B19:C20"/>
    <mergeCell ref="B21:C21"/>
    <mergeCell ref="D18:E18"/>
    <mergeCell ref="D19:E20"/>
    <mergeCell ref="D21:E21"/>
    <mergeCell ref="F18:G18"/>
    <mergeCell ref="F19:G20"/>
    <mergeCell ref="F21:G21"/>
    <mergeCell ref="B22:G22"/>
    <mergeCell ref="C24:G24"/>
    <mergeCell ref="C25:G25"/>
    <mergeCell ref="C26:G26"/>
    <mergeCell ref="C27:G27"/>
    <mergeCell ref="C28:G28"/>
    <mergeCell ref="C29:G29"/>
    <mergeCell ref="C30:G30"/>
    <mergeCell ref="B32:G35"/>
  </mergeCells>
  <hyperlinks>
    <hyperlink ref="B24" location="'管理看板'!A1" display="管理看板"/>
    <hyperlink ref="B25" location="'客户分析'!A1" display="客户分析"/>
    <hyperlink ref="B26" location="'商品与退货'!A1" display="商品与退货"/>
    <hyperlink ref="B27" location="'市场分析'!A1" display="市场分析"/>
    <hyperlink ref="B28" location="'业务结论'!A1" display="业务结论"/>
    <hyperlink ref="B29" location="'数据附表'!A1" display="数据附表"/>
    <hyperlink ref="B30" location="'数据字典'!A1" display="数据字典"/>
  </hyperlinks>
  <pageMargins left="0.3" right="0.3" top="0.3" bottom="0.3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"/>
  <sheetViews>
    <sheetView showGridLines="0" workbookViewId="0"/>
  </sheetViews>
  <sheetFormatPr defaultRowHeight="15"/>
  <cols>
    <col min="1" max="1" width="14.7109375" customWidth="1"/>
    <col min="2" max="3" width="16.7109375" customWidth="1"/>
    <col min="4" max="5" width="12.7109375" customWidth="1"/>
    <col min="6" max="8" width="14.7109375" customWidth="1"/>
    <col min="9" max="9" width="16.7109375" customWidth="1"/>
  </cols>
  <sheetData>
    <row r="1" spans="1:9" ht="34" customHeight="1">
      <c r="A1" s="1" t="s">
        <v>37</v>
      </c>
      <c r="B1" s="1"/>
      <c r="C1" s="1"/>
      <c r="D1" s="1"/>
      <c r="E1" s="1"/>
      <c r="F1" s="1"/>
      <c r="G1" s="1"/>
      <c r="H1" s="1"/>
      <c r="I1" s="1"/>
    </row>
    <row r="3" spans="1:9">
      <c r="A3" s="7" t="s">
        <v>38</v>
      </c>
      <c r="B3" s="7"/>
      <c r="C3" s="7"/>
      <c r="D3" s="7"/>
      <c r="E3" s="7"/>
      <c r="F3" s="7"/>
      <c r="G3" s="7"/>
      <c r="H3" s="7"/>
      <c r="I3" s="7"/>
    </row>
    <row r="4" spans="1:9">
      <c r="A4" s="11" t="s">
        <v>39</v>
      </c>
      <c r="B4" s="11" t="s">
        <v>3</v>
      </c>
      <c r="C4" s="11" t="s">
        <v>40</v>
      </c>
      <c r="D4" s="11" t="s">
        <v>6</v>
      </c>
      <c r="E4" s="11" t="s">
        <v>9</v>
      </c>
      <c r="F4" s="11" t="s">
        <v>41</v>
      </c>
      <c r="G4" s="11" t="s">
        <v>42</v>
      </c>
      <c r="H4" s="11" t="s">
        <v>43</v>
      </c>
      <c r="I4" s="11" t="s">
        <v>44</v>
      </c>
    </row>
    <row r="5" spans="1:9">
      <c r="A5" s="12" t="s">
        <v>45</v>
      </c>
      <c r="B5" s="13">
        <v>781541.6899999999</v>
      </c>
      <c r="C5" s="13">
        <v>781541.6899999999</v>
      </c>
      <c r="D5" s="14">
        <v>1666</v>
      </c>
      <c r="E5" s="14">
        <v>951</v>
      </c>
      <c r="F5" s="13">
        <v>480.85</v>
      </c>
      <c r="G5" s="13">
        <v>19561.28</v>
      </c>
      <c r="H5" s="15">
        <v>0.0244179346882211</v>
      </c>
      <c r="I5" s="15">
        <v>0.0244179346882211</v>
      </c>
    </row>
    <row r="6" spans="1:9">
      <c r="A6" s="12" t="s">
        <v>46</v>
      </c>
      <c r="B6" s="13">
        <v>606385.1800000001</v>
      </c>
      <c r="C6" s="13">
        <v>693963.4399999999</v>
      </c>
      <c r="D6" s="14">
        <v>1049</v>
      </c>
      <c r="E6" s="14">
        <v>701</v>
      </c>
      <c r="F6" s="13">
        <v>585.1799999999999</v>
      </c>
      <c r="G6" s="13">
        <v>7465.63</v>
      </c>
      <c r="H6" s="15">
        <v>0.0121619615940167</v>
      </c>
      <c r="I6" s="15">
        <v>0.0121619615940167</v>
      </c>
    </row>
    <row r="7" spans="1:9">
      <c r="A7" s="12" t="s">
        <v>47</v>
      </c>
      <c r="B7" s="13">
        <v>527160.3</v>
      </c>
      <c r="C7" s="13">
        <v>638362.39</v>
      </c>
      <c r="D7" s="14">
        <v>1189</v>
      </c>
      <c r="E7" s="14">
        <v>771</v>
      </c>
      <c r="F7" s="13">
        <v>453.95</v>
      </c>
      <c r="G7" s="13">
        <v>12584.39</v>
      </c>
      <c r="H7" s="15">
        <v>0.0233154495568299</v>
      </c>
      <c r="I7" s="15">
        <v>0.0233154495568299</v>
      </c>
    </row>
    <row r="8" spans="1:9">
      <c r="A8" s="12" t="s">
        <v>48</v>
      </c>
      <c r="B8" s="13">
        <v>754676.65</v>
      </c>
      <c r="C8" s="13">
        <v>629407.38</v>
      </c>
      <c r="D8" s="14">
        <v>1647</v>
      </c>
      <c r="E8" s="14">
        <v>1051</v>
      </c>
      <c r="F8" s="13">
        <v>464.08</v>
      </c>
      <c r="G8" s="13">
        <v>9657.200000000001</v>
      </c>
      <c r="H8" s="15">
        <v>0.0126347930127197</v>
      </c>
      <c r="I8" s="15">
        <v>0.0126347930127197</v>
      </c>
    </row>
    <row r="9" spans="1:9">
      <c r="A9" s="12" t="s">
        <v>49</v>
      </c>
      <c r="B9" s="13">
        <v>638968.5600000001</v>
      </c>
      <c r="C9" s="13">
        <v>640268.5</v>
      </c>
      <c r="D9" s="14">
        <v>1435</v>
      </c>
      <c r="E9" s="14">
        <v>939</v>
      </c>
      <c r="F9" s="13">
        <v>452.26</v>
      </c>
      <c r="G9" s="13">
        <v>10025.26</v>
      </c>
      <c r="H9" s="15">
        <v>0.0154473889583497</v>
      </c>
      <c r="I9" s="15">
        <v>0.0154473889583497</v>
      </c>
    </row>
    <row r="10" spans="1:9">
      <c r="A10" s="12" t="s">
        <v>50</v>
      </c>
      <c r="B10" s="13">
        <v>608351.25</v>
      </c>
      <c r="C10" s="13">
        <v>667332.15</v>
      </c>
      <c r="D10" s="14">
        <v>1484</v>
      </c>
      <c r="E10" s="14">
        <v>965</v>
      </c>
      <c r="F10" s="13">
        <v>435.07</v>
      </c>
      <c r="G10" s="13">
        <v>37294.14</v>
      </c>
      <c r="H10" s="15">
        <v>0.0577625745922231</v>
      </c>
      <c r="I10" s="15">
        <v>0.0577625745922231</v>
      </c>
    </row>
    <row r="11" spans="1:9">
      <c r="A11" s="12" t="s">
        <v>51</v>
      </c>
      <c r="B11" s="13">
        <v>672935.41</v>
      </c>
      <c r="C11" s="13">
        <v>640085.0699999999</v>
      </c>
      <c r="D11" s="14">
        <v>1612</v>
      </c>
      <c r="E11" s="14">
        <v>1034</v>
      </c>
      <c r="F11" s="13">
        <v>433.82</v>
      </c>
      <c r="G11" s="13">
        <v>26380.61</v>
      </c>
      <c r="H11" s="15">
        <v>0.0377234458321146</v>
      </c>
      <c r="I11" s="15">
        <v>0.0377234458321146</v>
      </c>
    </row>
    <row r="12" spans="1:9">
      <c r="A12" s="12" t="s">
        <v>52</v>
      </c>
      <c r="B12" s="13">
        <v>617764.26</v>
      </c>
      <c r="C12" s="13">
        <v>633016.97</v>
      </c>
      <c r="D12" s="14">
        <v>1507</v>
      </c>
      <c r="E12" s="14">
        <v>924</v>
      </c>
      <c r="F12" s="13">
        <v>421.3</v>
      </c>
      <c r="G12" s="13">
        <v>17132.73</v>
      </c>
      <c r="H12" s="15">
        <v>0.0269850546936755</v>
      </c>
      <c r="I12" s="15">
        <v>0.0269850546936755</v>
      </c>
    </row>
    <row r="13" spans="1:9">
      <c r="A13" s="12" t="s">
        <v>53</v>
      </c>
      <c r="B13" s="13">
        <v>663642.0699999999</v>
      </c>
      <c r="C13" s="13">
        <v>651447.25</v>
      </c>
      <c r="D13" s="14">
        <v>1402</v>
      </c>
      <c r="E13" s="14">
        <v>910</v>
      </c>
      <c r="F13" s="13">
        <v>482.21</v>
      </c>
      <c r="G13" s="13">
        <v>12418.65</v>
      </c>
      <c r="H13" s="15">
        <v>0.018369134062396</v>
      </c>
      <c r="I13" s="15">
        <v>0.018369134062396</v>
      </c>
    </row>
    <row r="14" spans="1:9">
      <c r="A14" s="12" t="s">
        <v>54</v>
      </c>
      <c r="B14" s="13">
        <v>844100.37</v>
      </c>
      <c r="C14" s="13">
        <v>708502.23</v>
      </c>
      <c r="D14" s="14">
        <v>1789</v>
      </c>
      <c r="E14" s="14">
        <v>1136</v>
      </c>
      <c r="F14" s="13">
        <v>487.36</v>
      </c>
      <c r="G14" s="13">
        <v>27777.97</v>
      </c>
      <c r="H14" s="15">
        <v>0.0318599151897042</v>
      </c>
      <c r="I14" s="15">
        <v>0.0318599151897042</v>
      </c>
    </row>
    <row r="15" spans="1:9">
      <c r="A15" s="12" t="s">
        <v>55</v>
      </c>
      <c r="B15" s="13">
        <v>1072467.65</v>
      </c>
      <c r="C15" s="13">
        <v>860070.03</v>
      </c>
      <c r="D15" s="14">
        <v>2244</v>
      </c>
      <c r="E15" s="14">
        <v>1492</v>
      </c>
      <c r="F15" s="13">
        <v>489.31</v>
      </c>
      <c r="G15" s="13">
        <v>25550.02</v>
      </c>
      <c r="H15" s="15">
        <v>0.0232692248021837</v>
      </c>
      <c r="I15" s="15">
        <v>0.0232692248021837</v>
      </c>
    </row>
    <row r="16" spans="1:9">
      <c r="A16" s="12" t="s">
        <v>56</v>
      </c>
      <c r="B16" s="13">
        <v>1400559.24</v>
      </c>
      <c r="C16" s="13">
        <v>1105709.09</v>
      </c>
      <c r="D16" s="14">
        <v>2719</v>
      </c>
      <c r="E16" s="14">
        <v>1606</v>
      </c>
      <c r="F16" s="13">
        <v>528.02</v>
      </c>
      <c r="G16" s="13">
        <v>35120.88</v>
      </c>
      <c r="H16" s="15">
        <v>0.0244628865872115</v>
      </c>
      <c r="I16" s="15">
        <v>0.0244628865872115</v>
      </c>
    </row>
    <row r="17" spans="1:9">
      <c r="A17" s="12" t="s">
        <v>57</v>
      </c>
      <c r="B17" s="13">
        <v>759102.28</v>
      </c>
      <c r="C17" s="13">
        <v>1077376.39</v>
      </c>
      <c r="D17" s="14">
        <v>1550</v>
      </c>
      <c r="E17" s="14">
        <v>884</v>
      </c>
      <c r="F17" s="13">
        <v>501.1</v>
      </c>
      <c r="G17" s="13">
        <v>17607.86</v>
      </c>
      <c r="H17" s="15">
        <v>0.0226697954529086</v>
      </c>
      <c r="I17" s="15">
        <v>0.0226697954529086</v>
      </c>
    </row>
    <row r="18" spans="1:9">
      <c r="A18" s="12" t="s">
        <v>58</v>
      </c>
      <c r="B18" s="13">
        <v>580406.89</v>
      </c>
      <c r="C18" s="13">
        <v>913356.14</v>
      </c>
      <c r="D18" s="14">
        <v>1081</v>
      </c>
      <c r="E18" s="14">
        <v>739</v>
      </c>
      <c r="F18" s="13">
        <v>621.58</v>
      </c>
      <c r="G18" s="13">
        <v>91526.3</v>
      </c>
      <c r="H18" s="15">
        <v>0.136213393477408</v>
      </c>
      <c r="I18" s="15">
        <v>0.0213454257260308</v>
      </c>
    </row>
    <row r="19" spans="1:9">
      <c r="A19" s="12" t="s">
        <v>59</v>
      </c>
      <c r="B19" s="13">
        <v>500510.33</v>
      </c>
      <c r="C19" s="13">
        <v>613339.83</v>
      </c>
      <c r="D19" s="14">
        <v>1093</v>
      </c>
      <c r="E19" s="14">
        <v>757</v>
      </c>
      <c r="F19" s="13">
        <v>465.59</v>
      </c>
      <c r="G19" s="13">
        <v>8375.870000000001</v>
      </c>
      <c r="H19" s="15">
        <v>0.0164592201557047</v>
      </c>
      <c r="I19" s="15">
        <v>0.0164592201557047</v>
      </c>
    </row>
    <row r="20" spans="1:9">
      <c r="A20" s="12" t="s">
        <v>60</v>
      </c>
      <c r="B20" s="13">
        <v>680582.3100000001</v>
      </c>
      <c r="C20" s="13">
        <v>587166.51</v>
      </c>
      <c r="D20" s="14">
        <v>1440</v>
      </c>
      <c r="E20" s="14">
        <v>973</v>
      </c>
      <c r="F20" s="13">
        <v>480.04</v>
      </c>
      <c r="G20" s="13">
        <v>10675.3</v>
      </c>
      <c r="H20" s="15">
        <v>0.0154433019551133</v>
      </c>
      <c r="I20" s="15">
        <v>0.0154433019551133</v>
      </c>
    </row>
    <row r="21" spans="1:9">
      <c r="A21" s="12" t="s">
        <v>61</v>
      </c>
      <c r="B21" s="13">
        <v>482901.21</v>
      </c>
      <c r="C21" s="13">
        <v>554664.62</v>
      </c>
      <c r="D21" s="14">
        <v>1235</v>
      </c>
      <c r="E21" s="14">
        <v>853</v>
      </c>
      <c r="F21" s="13">
        <v>417.99</v>
      </c>
      <c r="G21" s="13">
        <v>33316.91</v>
      </c>
      <c r="H21" s="15">
        <v>0.0645403728475467</v>
      </c>
      <c r="I21" s="15">
        <v>0.0645403728475467</v>
      </c>
    </row>
    <row r="22" spans="1:9">
      <c r="A22" s="12" t="s">
        <v>62</v>
      </c>
      <c r="B22" s="13">
        <v>732244.1800000001</v>
      </c>
      <c r="C22" s="13">
        <v>631909.23</v>
      </c>
      <c r="D22" s="14">
        <v>1668</v>
      </c>
      <c r="E22" s="14">
        <v>1054</v>
      </c>
      <c r="F22" s="13">
        <v>444.36</v>
      </c>
      <c r="G22" s="13">
        <v>8948.23</v>
      </c>
      <c r="H22" s="15">
        <v>0.0120727490989822</v>
      </c>
      <c r="I22" s="15">
        <v>0.0120727490989822</v>
      </c>
    </row>
    <row r="23" spans="1:9">
      <c r="A23" s="12" t="s">
        <v>63</v>
      </c>
      <c r="B23" s="13">
        <v>724991.03</v>
      </c>
      <c r="C23" s="13">
        <v>646712.14</v>
      </c>
      <c r="D23" s="14">
        <v>1525</v>
      </c>
      <c r="E23" s="14">
        <v>990</v>
      </c>
      <c r="F23" s="13">
        <v>484.43</v>
      </c>
      <c r="G23" s="13">
        <v>13760.84</v>
      </c>
      <c r="H23" s="15">
        <v>0.0186271474344965</v>
      </c>
      <c r="I23" s="15">
        <v>0.0186271474344965</v>
      </c>
    </row>
    <row r="24" spans="1:9">
      <c r="A24" s="12" t="s">
        <v>64</v>
      </c>
      <c r="B24" s="13">
        <v>677955.2</v>
      </c>
      <c r="C24" s="13">
        <v>711730.14</v>
      </c>
      <c r="D24" s="14">
        <v>1452</v>
      </c>
      <c r="E24" s="14">
        <v>946</v>
      </c>
      <c r="F24" s="13">
        <v>474.77</v>
      </c>
      <c r="G24" s="13">
        <v>11409.21</v>
      </c>
      <c r="H24" s="15">
        <v>0.0165503321870789</v>
      </c>
      <c r="I24" s="15">
        <v>0.0165503321870789</v>
      </c>
    </row>
    <row r="25" spans="1:9">
      <c r="A25" s="12" t="s">
        <v>65</v>
      </c>
      <c r="B25" s="13">
        <v>702583.98</v>
      </c>
      <c r="C25" s="13">
        <v>701843.4</v>
      </c>
      <c r="D25" s="14">
        <v>1339</v>
      </c>
      <c r="E25" s="14">
        <v>933</v>
      </c>
      <c r="F25" s="13">
        <v>541.83</v>
      </c>
      <c r="G25" s="13">
        <v>22929.52</v>
      </c>
      <c r="H25" s="15">
        <v>0.0316045394055382</v>
      </c>
      <c r="I25" s="15">
        <v>0.0316045394055382</v>
      </c>
    </row>
    <row r="26" spans="1:9">
      <c r="A26" s="12" t="s">
        <v>66</v>
      </c>
      <c r="B26" s="13">
        <v>1013430.68</v>
      </c>
      <c r="C26" s="13">
        <v>797989.95</v>
      </c>
      <c r="D26" s="14">
        <v>1818</v>
      </c>
      <c r="E26" s="14">
        <v>1259</v>
      </c>
      <c r="F26" s="13">
        <v>566.8200000000001</v>
      </c>
      <c r="G26" s="13">
        <v>17044.68</v>
      </c>
      <c r="H26" s="15">
        <v>0.016540599266206</v>
      </c>
      <c r="I26" s="15">
        <v>0.016540599266206</v>
      </c>
    </row>
    <row r="27" spans="1:9">
      <c r="A27" s="12" t="s">
        <v>67</v>
      </c>
      <c r="B27" s="13">
        <v>1062677.66</v>
      </c>
      <c r="C27" s="13">
        <v>926230.77</v>
      </c>
      <c r="D27" s="14">
        <v>2005</v>
      </c>
      <c r="E27" s="14">
        <v>1361</v>
      </c>
      <c r="F27" s="13">
        <v>551.96</v>
      </c>
      <c r="G27" s="13">
        <v>43992.16</v>
      </c>
      <c r="H27" s="15">
        <v>0.0397518385384359</v>
      </c>
      <c r="I27" s="15">
        <v>0.0397518385384359</v>
      </c>
    </row>
    <row r="28" spans="1:9">
      <c r="A28" s="12" t="s">
        <v>68</v>
      </c>
      <c r="B28" s="13">
        <v>1432734.99</v>
      </c>
      <c r="C28" s="13">
        <v>1169614.44</v>
      </c>
      <c r="D28" s="14">
        <v>2751</v>
      </c>
      <c r="E28" s="14">
        <v>1660</v>
      </c>
      <c r="F28" s="13">
        <v>529.9</v>
      </c>
      <c r="G28" s="13">
        <v>25010.54</v>
      </c>
      <c r="H28" s="15">
        <v>0.0171569999600684</v>
      </c>
      <c r="I28" s="15">
        <v>0.0171569999600684</v>
      </c>
    </row>
    <row r="29" spans="1:9">
      <c r="A29" s="12" t="s">
        <v>69</v>
      </c>
      <c r="B29" s="13">
        <v>441366.51</v>
      </c>
      <c r="C29" s="13">
        <v>978926.39</v>
      </c>
      <c r="D29" s="14">
        <v>816</v>
      </c>
      <c r="E29" s="14">
        <v>614</v>
      </c>
      <c r="F29" s="13">
        <v>754.28</v>
      </c>
      <c r="G29" s="13">
        <v>174126.76</v>
      </c>
      <c r="H29" s="15">
        <v>0.2829060340497306</v>
      </c>
      <c r="I29" s="15">
        <v>0.009191262156286399</v>
      </c>
    </row>
    <row r="32" spans="1:9">
      <c r="A32" s="7" t="s">
        <v>70</v>
      </c>
      <c r="B32" s="7"/>
      <c r="C32" s="7"/>
      <c r="D32" s="7"/>
    </row>
    <row r="33" spans="1:6">
      <c r="A33" s="11" t="s">
        <v>71</v>
      </c>
      <c r="B33" s="11" t="s">
        <v>3</v>
      </c>
      <c r="C33" s="11" t="s">
        <v>72</v>
      </c>
    </row>
    <row r="34" spans="1:6">
      <c r="A34" s="12" t="s">
        <v>73</v>
      </c>
      <c r="B34" s="13">
        <v>603407.1</v>
      </c>
      <c r="C34" s="16">
        <v>-0.2397</v>
      </c>
    </row>
    <row r="35" spans="1:6">
      <c r="A35" s="12" t="s">
        <v>74</v>
      </c>
      <c r="B35" s="13">
        <v>546097.08</v>
      </c>
      <c r="C35" s="16">
        <v>0.1089</v>
      </c>
    </row>
    <row r="36" spans="1:6">
      <c r="A36" s="12" t="s">
        <v>75</v>
      </c>
      <c r="B36" s="13">
        <v>375132.18</v>
      </c>
      <c r="C36" s="16">
        <v>0.1046</v>
      </c>
    </row>
    <row r="37" spans="1:6">
      <c r="A37" s="12" t="s">
        <v>76</v>
      </c>
      <c r="B37" s="13">
        <v>293626.34</v>
      </c>
      <c r="C37" s="16">
        <v>0.5493</v>
      </c>
    </row>
    <row r="38" spans="1:6">
      <c r="A38" s="12" t="s">
        <v>77</v>
      </c>
      <c r="B38" s="13">
        <v>166349.65</v>
      </c>
      <c r="C38" s="16">
        <v>3.544</v>
      </c>
    </row>
    <row r="39" spans="1:6">
      <c r="A39" s="12" t="s">
        <v>78</v>
      </c>
      <c r="B39" s="13">
        <v>92940.36</v>
      </c>
      <c r="C39" s="16">
        <v>0.276</v>
      </c>
    </row>
    <row r="40" spans="1:6">
      <c r="A40" s="12" t="s">
        <v>79</v>
      </c>
      <c r="B40" s="13">
        <v>84862.88</v>
      </c>
      <c r="C40" s="16">
        <v>0.915</v>
      </c>
    </row>
    <row r="41" spans="1:6">
      <c r="A41" s="12" t="s">
        <v>80</v>
      </c>
      <c r="B41" s="13">
        <v>84379.07000000001</v>
      </c>
      <c r="C41" s="16">
        <v>-0.3353</v>
      </c>
    </row>
    <row r="42" spans="1:6">
      <c r="A42" s="12" t="s">
        <v>81</v>
      </c>
      <c r="B42" s="13">
        <v>63355.59</v>
      </c>
      <c r="C42" s="16">
        <v>-0.6252</v>
      </c>
    </row>
    <row r="43" spans="1:6">
      <c r="A43" s="12" t="s">
        <v>82</v>
      </c>
      <c r="B43" s="13">
        <v>56618.39</v>
      </c>
      <c r="C43" s="16">
        <v>0.7551</v>
      </c>
    </row>
    <row r="45" spans="1:6">
      <c r="A45" s="10" t="s">
        <v>83</v>
      </c>
    </row>
    <row r="46" spans="1:6">
      <c r="A46" s="7" t="s">
        <v>84</v>
      </c>
      <c r="B46" s="7"/>
      <c r="C46" s="7"/>
      <c r="D46" s="7"/>
      <c r="E46" s="7"/>
      <c r="F46" s="7"/>
    </row>
    <row r="47" spans="1:6">
      <c r="A47" s="11" t="s">
        <v>85</v>
      </c>
      <c r="B47" s="11" t="s">
        <v>9</v>
      </c>
      <c r="C47" s="11" t="s">
        <v>3</v>
      </c>
      <c r="D47" s="11" t="s">
        <v>86</v>
      </c>
      <c r="E47" s="11" t="s">
        <v>87</v>
      </c>
    </row>
    <row r="48" spans="1:6">
      <c r="A48" s="12" t="s">
        <v>88</v>
      </c>
      <c r="B48" s="14">
        <v>1257</v>
      </c>
      <c r="C48" s="13">
        <v>11290711.88</v>
      </c>
      <c r="D48" s="16">
        <v>0.2147983595352016</v>
      </c>
      <c r="E48" s="16">
        <v>0.6879513378576851</v>
      </c>
    </row>
    <row r="49" spans="1:5">
      <c r="A49" s="12" t="s">
        <v>89</v>
      </c>
      <c r="B49" s="14">
        <v>1322</v>
      </c>
      <c r="C49" s="13">
        <v>2575818.83</v>
      </c>
      <c r="D49" s="16">
        <v>0.2259056732740943</v>
      </c>
      <c r="E49" s="16">
        <v>0.1569465261673556</v>
      </c>
    </row>
    <row r="50" spans="1:5">
      <c r="A50" s="12" t="s">
        <v>90</v>
      </c>
      <c r="B50" s="14">
        <v>710</v>
      </c>
      <c r="C50" s="13">
        <v>1372330.91</v>
      </c>
      <c r="D50" s="16">
        <v>0.1213260423786739</v>
      </c>
      <c r="E50" s="16">
        <v>0.0836171268336308</v>
      </c>
    </row>
    <row r="51" spans="1:5">
      <c r="A51" s="12" t="s">
        <v>91</v>
      </c>
      <c r="B51" s="14">
        <v>1631</v>
      </c>
      <c r="C51" s="13">
        <v>677958.4300000001</v>
      </c>
      <c r="D51" s="16">
        <v>0.2787081339712918</v>
      </c>
      <c r="E51" s="16">
        <v>0.0413085034380348</v>
      </c>
    </row>
    <row r="52" spans="1:5">
      <c r="A52" s="12" t="s">
        <v>92</v>
      </c>
      <c r="B52" s="14">
        <v>511</v>
      </c>
      <c r="C52" s="13">
        <v>274596.33</v>
      </c>
      <c r="D52" s="16">
        <v>0.0873205741626794</v>
      </c>
      <c r="E52" s="16">
        <v>0.016731355355245</v>
      </c>
    </row>
    <row r="53" spans="1:5">
      <c r="A53" s="12" t="s">
        <v>93</v>
      </c>
      <c r="B53" s="14">
        <v>421</v>
      </c>
      <c r="C53" s="13">
        <v>220662.87</v>
      </c>
      <c r="D53" s="16">
        <v>0.07194121667805869</v>
      </c>
      <c r="E53" s="16">
        <v>0.0134451503480484</v>
      </c>
    </row>
    <row r="55" spans="1:5">
      <c r="A55" s="7" t="s">
        <v>94</v>
      </c>
      <c r="B55" s="7"/>
      <c r="C55" s="7"/>
      <c r="D55" s="7"/>
    </row>
    <row r="56" spans="1:5">
      <c r="A56" s="11" t="s">
        <v>95</v>
      </c>
      <c r="B56" s="11" t="s">
        <v>96</v>
      </c>
      <c r="C56" s="11" t="s">
        <v>87</v>
      </c>
    </row>
    <row r="57" spans="1:5">
      <c r="A57" s="12" t="s">
        <v>97</v>
      </c>
      <c r="B57" s="14">
        <v>1038</v>
      </c>
      <c r="C57" s="16">
        <v>0.7998843611703101</v>
      </c>
    </row>
    <row r="58" spans="1:5">
      <c r="A58" s="12" t="s">
        <v>98</v>
      </c>
      <c r="B58" s="14">
        <v>1257</v>
      </c>
      <c r="C58" s="16">
        <v>0.1501135048694747</v>
      </c>
    </row>
    <row r="59" spans="1:5">
      <c r="A59" s="12" t="s">
        <v>99</v>
      </c>
      <c r="B59" s="14">
        <v>2430</v>
      </c>
      <c r="C59" s="16">
        <v>0.0500160369868457</v>
      </c>
    </row>
    <row r="61" spans="1:5">
      <c r="A61" s="7" t="s">
        <v>100</v>
      </c>
      <c r="B61" s="7"/>
      <c r="C61" s="7"/>
      <c r="D61" s="7"/>
      <c r="E61" s="7"/>
    </row>
    <row r="62" spans="1:5">
      <c r="A62" s="11" t="s">
        <v>101</v>
      </c>
      <c r="B62" s="11" t="s">
        <v>102</v>
      </c>
      <c r="C62" s="11" t="s">
        <v>3</v>
      </c>
      <c r="D62" s="11" t="s">
        <v>103</v>
      </c>
      <c r="E62" s="11" t="s">
        <v>43</v>
      </c>
    </row>
    <row r="63" spans="1:5">
      <c r="A63" s="12" t="s">
        <v>104</v>
      </c>
      <c r="B63" s="17" t="s">
        <v>105</v>
      </c>
      <c r="C63" s="13">
        <v>314513.47</v>
      </c>
      <c r="D63" s="14">
        <v>26519</v>
      </c>
      <c r="E63" s="16">
        <v>0.0501</v>
      </c>
    </row>
    <row r="64" spans="1:5">
      <c r="A64" s="12" t="s">
        <v>106</v>
      </c>
      <c r="B64" s="17" t="s">
        <v>107</v>
      </c>
      <c r="C64" s="13">
        <v>252122.83</v>
      </c>
      <c r="D64" s="14">
        <v>94839</v>
      </c>
      <c r="E64" s="16">
        <v>0.0359</v>
      </c>
    </row>
    <row r="65" spans="1:5">
      <c r="A65" s="12" t="s">
        <v>108</v>
      </c>
      <c r="B65" s="17" t="s">
        <v>109</v>
      </c>
      <c r="C65" s="13">
        <v>180830.85</v>
      </c>
      <c r="D65" s="14">
        <v>97350</v>
      </c>
      <c r="E65" s="16">
        <v>0.0119</v>
      </c>
    </row>
    <row r="66" spans="1:5">
      <c r="A66" s="12" t="s">
        <v>110</v>
      </c>
      <c r="B66" s="17" t="s">
        <v>111</v>
      </c>
      <c r="C66" s="13">
        <v>147157.43</v>
      </c>
      <c r="D66" s="14">
        <v>28216</v>
      </c>
      <c r="E66" s="16">
        <v>0.0083</v>
      </c>
    </row>
    <row r="67" spans="1:5">
      <c r="A67" s="12" t="s">
        <v>112</v>
      </c>
      <c r="B67" s="17" t="s">
        <v>113</v>
      </c>
      <c r="C67" s="13">
        <v>128893.49</v>
      </c>
      <c r="D67" s="14">
        <v>80285</v>
      </c>
      <c r="E67" s="16">
        <v>0.006</v>
      </c>
    </row>
    <row r="68" spans="1:5">
      <c r="A68" s="12" t="s">
        <v>114</v>
      </c>
      <c r="B68" s="17" t="s">
        <v>115</v>
      </c>
      <c r="C68" s="13">
        <v>116407.74</v>
      </c>
      <c r="D68" s="14">
        <v>35121</v>
      </c>
      <c r="E68" s="16">
        <v>0.0124</v>
      </c>
    </row>
    <row r="69" spans="1:5">
      <c r="A69" s="12" t="s">
        <v>116</v>
      </c>
      <c r="B69" s="17" t="s">
        <v>117</v>
      </c>
      <c r="C69" s="13">
        <v>80237.48</v>
      </c>
      <c r="D69" s="14">
        <v>15918</v>
      </c>
      <c r="E69" s="16">
        <v>0.007900000000000001</v>
      </c>
    </row>
    <row r="70" spans="1:5">
      <c r="A70" s="12" t="s">
        <v>118</v>
      </c>
      <c r="B70" s="17" t="s">
        <v>119</v>
      </c>
      <c r="C70" s="13">
        <v>78935.92</v>
      </c>
      <c r="D70" s="14">
        <v>88537</v>
      </c>
      <c r="E70" s="16">
        <v>0.0078</v>
      </c>
    </row>
    <row r="71" spans="1:5">
      <c r="A71" s="12" t="s">
        <v>120</v>
      </c>
      <c r="B71" s="17" t="s">
        <v>121</v>
      </c>
      <c r="C71" s="13">
        <v>75516.27</v>
      </c>
      <c r="D71" s="14">
        <v>39466</v>
      </c>
      <c r="E71" s="16">
        <v>0.0114</v>
      </c>
    </row>
    <row r="72" spans="1:5">
      <c r="A72" s="12" t="s">
        <v>122</v>
      </c>
      <c r="B72" s="17" t="s">
        <v>123</v>
      </c>
      <c r="C72" s="13">
        <v>71023.5</v>
      </c>
      <c r="D72" s="14">
        <v>31430</v>
      </c>
      <c r="E72" s="16">
        <v>0.0046</v>
      </c>
    </row>
    <row r="75" spans="1:5">
      <c r="A75" s="7" t="s">
        <v>124</v>
      </c>
      <c r="B75" s="7"/>
      <c r="C75" s="7"/>
      <c r="D75" s="7"/>
    </row>
    <row r="76" spans="1:5">
      <c r="A76" s="11" t="s">
        <v>101</v>
      </c>
      <c r="B76" s="11" t="s">
        <v>102</v>
      </c>
      <c r="C76" s="11" t="s">
        <v>42</v>
      </c>
      <c r="D76" s="11" t="s">
        <v>43</v>
      </c>
    </row>
    <row r="77" spans="1:5">
      <c r="A77" s="12" t="s">
        <v>125</v>
      </c>
      <c r="B77" s="17" t="s">
        <v>126</v>
      </c>
      <c r="C77" s="13">
        <v>168469.6</v>
      </c>
      <c r="D77" s="16">
        <v>1</v>
      </c>
    </row>
    <row r="78" spans="1:5">
      <c r="A78" s="12" t="s">
        <v>127</v>
      </c>
      <c r="B78" s="17" t="s">
        <v>128</v>
      </c>
      <c r="C78" s="13">
        <v>77479.64</v>
      </c>
      <c r="D78" s="16">
        <v>0.9483</v>
      </c>
    </row>
    <row r="79" spans="1:5">
      <c r="A79" s="12" t="s">
        <v>104</v>
      </c>
      <c r="B79" s="17" t="s">
        <v>105</v>
      </c>
      <c r="C79" s="13">
        <v>16570.8</v>
      </c>
      <c r="D79" s="16">
        <v>0.0501</v>
      </c>
    </row>
    <row r="80" spans="1:5">
      <c r="A80" s="12" t="s">
        <v>106</v>
      </c>
      <c r="B80" s="17" t="s">
        <v>107</v>
      </c>
      <c r="C80" s="13">
        <v>9387.1</v>
      </c>
      <c r="D80" s="16">
        <v>0.0359</v>
      </c>
    </row>
    <row r="81" spans="1:5">
      <c r="A81" s="12" t="s">
        <v>129</v>
      </c>
      <c r="B81" s="17" t="s">
        <v>130</v>
      </c>
      <c r="C81" s="13">
        <v>7164.12</v>
      </c>
      <c r="D81" s="16">
        <v>0.1602</v>
      </c>
    </row>
    <row r="82" spans="1:5">
      <c r="A82" s="12" t="s">
        <v>131</v>
      </c>
      <c r="B82" s="17" t="s">
        <v>132</v>
      </c>
      <c r="C82" s="13">
        <v>6614.37</v>
      </c>
      <c r="D82" s="16">
        <v>0.26</v>
      </c>
    </row>
    <row r="83" spans="1:5">
      <c r="A83" s="12" t="s">
        <v>133</v>
      </c>
      <c r="B83" s="17" t="s">
        <v>134</v>
      </c>
      <c r="C83" s="13">
        <v>6421.1</v>
      </c>
      <c r="D83" s="16">
        <v>0.3558</v>
      </c>
    </row>
    <row r="84" spans="1:5">
      <c r="A84" s="12" t="s">
        <v>135</v>
      </c>
      <c r="B84" s="17" t="s">
        <v>136</v>
      </c>
      <c r="C84" s="13">
        <v>5270.25</v>
      </c>
      <c r="D84" s="16">
        <v>0.0808</v>
      </c>
    </row>
    <row r="85" spans="1:5">
      <c r="A85" s="12" t="s">
        <v>137</v>
      </c>
      <c r="B85" s="17" t="s">
        <v>138</v>
      </c>
      <c r="C85" s="13">
        <v>5187.65</v>
      </c>
      <c r="D85" s="16">
        <v>0.1183</v>
      </c>
    </row>
    <row r="86" spans="1:5">
      <c r="A86" s="12" t="s">
        <v>139</v>
      </c>
      <c r="B86" s="17" t="s">
        <v>140</v>
      </c>
      <c r="C86" s="13">
        <v>4803.06</v>
      </c>
      <c r="D86" s="16">
        <v>0.8184</v>
      </c>
    </row>
    <row r="89" spans="1:5">
      <c r="A89" s="7" t="s">
        <v>141</v>
      </c>
      <c r="B89" s="7"/>
      <c r="C89" s="7"/>
      <c r="D89" s="7"/>
      <c r="E89" s="7"/>
    </row>
    <row r="90" spans="1:5">
      <c r="A90" s="11" t="s">
        <v>142</v>
      </c>
      <c r="B90" s="11" t="s">
        <v>143</v>
      </c>
      <c r="C90" s="11" t="s">
        <v>144</v>
      </c>
    </row>
    <row r="91" spans="1:5">
      <c r="A91" s="12" t="s">
        <v>15</v>
      </c>
      <c r="B91" s="14">
        <v>1067371</v>
      </c>
      <c r="C91" s="12" t="s">
        <v>145</v>
      </c>
    </row>
    <row r="92" spans="1:5">
      <c r="A92" s="12" t="s">
        <v>146</v>
      </c>
      <c r="B92" s="14">
        <v>22844</v>
      </c>
      <c r="C92" s="12" t="s">
        <v>147</v>
      </c>
    </row>
    <row r="93" spans="1:5">
      <c r="A93" s="12" t="s">
        <v>148</v>
      </c>
      <c r="B93" s="14">
        <v>1044527</v>
      </c>
      <c r="C93" s="12" t="s">
        <v>149</v>
      </c>
    </row>
    <row r="94" spans="1:5">
      <c r="A94" s="12" t="s">
        <v>150</v>
      </c>
      <c r="B94" s="14">
        <v>243007</v>
      </c>
      <c r="C94" s="12" t="s">
        <v>151</v>
      </c>
    </row>
    <row r="95" spans="1:5">
      <c r="A95" s="12" t="s">
        <v>152</v>
      </c>
      <c r="B95" s="14">
        <v>235286</v>
      </c>
      <c r="C95" s="12" t="s">
        <v>153</v>
      </c>
    </row>
    <row r="96" spans="1:5">
      <c r="A96" s="12" t="s">
        <v>154</v>
      </c>
      <c r="B96" s="14">
        <v>4382</v>
      </c>
      <c r="C96" s="12" t="s">
        <v>155</v>
      </c>
    </row>
    <row r="97" spans="1:3">
      <c r="A97" s="12" t="s">
        <v>156</v>
      </c>
      <c r="B97" s="14">
        <v>17974</v>
      </c>
      <c r="C97" s="12" t="s">
        <v>157</v>
      </c>
    </row>
    <row r="98" spans="1:3">
      <c r="A98" s="12" t="s">
        <v>158</v>
      </c>
      <c r="B98" s="14">
        <v>1014768</v>
      </c>
      <c r="C98" s="12" t="s">
        <v>159</v>
      </c>
    </row>
    <row r="99" spans="1:3">
      <c r="A99" s="12" t="s">
        <v>160</v>
      </c>
      <c r="B99" s="14">
        <v>11</v>
      </c>
      <c r="C99" s="12" t="s">
        <v>161</v>
      </c>
    </row>
  </sheetData>
  <mergeCells count="8">
    <mergeCell ref="A1:I1"/>
    <mergeCell ref="A3:I3"/>
    <mergeCell ref="A32:D32"/>
    <mergeCell ref="A46:F46"/>
    <mergeCell ref="A55:D55"/>
    <mergeCell ref="A61:E61"/>
    <mergeCell ref="A75:D75"/>
    <mergeCell ref="A89:E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1"/>
  <sheetViews>
    <sheetView showGridLines="0" workbookViewId="0"/>
  </sheetViews>
  <sheetFormatPr defaultRowHeight="15"/>
  <cols>
    <col min="1" max="15" width="11.7109375" customWidth="1"/>
  </cols>
  <sheetData>
    <row r="1" spans="1:15" ht="26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15" ht="20" customHeight="1">
      <c r="A5" s="18" t="s">
        <v>3</v>
      </c>
      <c r="B5" s="18"/>
      <c r="C5" s="18"/>
      <c r="D5" s="19" t="s">
        <v>164</v>
      </c>
      <c r="E5" s="19"/>
      <c r="F5" s="19"/>
      <c r="G5" s="20" t="s">
        <v>9</v>
      </c>
      <c r="H5" s="20"/>
      <c r="I5" s="20"/>
      <c r="J5" s="21" t="s">
        <v>167</v>
      </c>
      <c r="K5" s="21"/>
      <c r="L5" s="21"/>
      <c r="M5" s="22" t="s">
        <v>12</v>
      </c>
      <c r="N5" s="22"/>
      <c r="O5" s="22"/>
    </row>
    <row r="6" spans="1:15" ht="28" customHeight="1">
      <c r="A6" s="23" t="s">
        <v>4</v>
      </c>
      <c r="B6" s="23"/>
      <c r="C6" s="23"/>
      <c r="D6" s="24" t="s">
        <v>7</v>
      </c>
      <c r="E6" s="24"/>
      <c r="F6" s="24"/>
      <c r="G6" s="25" t="s">
        <v>10</v>
      </c>
      <c r="H6" s="25"/>
      <c r="I6" s="25"/>
      <c r="J6" s="26" t="s">
        <v>168</v>
      </c>
      <c r="K6" s="26"/>
      <c r="L6" s="26"/>
      <c r="M6" s="27" t="s">
        <v>13</v>
      </c>
      <c r="N6" s="27"/>
      <c r="O6" s="27"/>
    </row>
    <row r="7" spans="1:15" ht="28" customHeight="1">
      <c r="A7" s="23"/>
      <c r="B7" s="23"/>
      <c r="C7" s="23"/>
      <c r="D7" s="24"/>
      <c r="E7" s="24"/>
      <c r="F7" s="24"/>
      <c r="G7" s="25"/>
      <c r="H7" s="25"/>
      <c r="I7" s="25"/>
      <c r="J7" s="26"/>
      <c r="K7" s="26"/>
      <c r="L7" s="26"/>
      <c r="M7" s="27"/>
      <c r="N7" s="27"/>
      <c r="O7" s="27"/>
    </row>
    <row r="8" spans="1:15" ht="18" customHeight="1">
      <c r="A8" s="28" t="s">
        <v>5</v>
      </c>
      <c r="B8" s="28"/>
      <c r="C8" s="28"/>
      <c r="D8" s="29" t="s">
        <v>165</v>
      </c>
      <c r="E8" s="29"/>
      <c r="F8" s="29"/>
      <c r="G8" s="30" t="s">
        <v>166</v>
      </c>
      <c r="H8" s="30"/>
      <c r="I8" s="30"/>
      <c r="J8" s="31" t="s">
        <v>169</v>
      </c>
      <c r="K8" s="31"/>
      <c r="L8" s="31"/>
      <c r="M8" s="32" t="s">
        <v>170</v>
      </c>
      <c r="N8" s="32"/>
      <c r="O8" s="32"/>
    </row>
    <row r="44" spans="1:15">
      <c r="H44" s="33" t="s">
        <v>171</v>
      </c>
      <c r="I44" s="33"/>
      <c r="J44" s="33"/>
      <c r="K44" s="33"/>
      <c r="L44" s="33"/>
      <c r="M44" s="33"/>
      <c r="N44" s="33"/>
      <c r="O44" s="33"/>
    </row>
    <row r="45" spans="1:15">
      <c r="A45" s="34" t="s">
        <v>172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</row>
    <row r="47" spans="1:15" ht="30" customHeight="1">
      <c r="A47" s="35" t="s">
        <v>173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</row>
    <row r="48" spans="1:15" ht="30" customHeight="1">
      <c r="A48" s="36" t="s">
        <v>174</v>
      </c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spans="1:15" ht="30" customHeight="1">
      <c r="A49" s="35" t="s">
        <v>175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</row>
    <row r="50" spans="1:15" ht="30" customHeight="1">
      <c r="A50" s="36" t="s">
        <v>176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1:15" ht="30" customHeight="1">
      <c r="A51" s="35" t="s">
        <v>177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</row>
  </sheetData>
  <mergeCells count="24">
    <mergeCell ref="A1:O2"/>
    <mergeCell ref="A3:O3"/>
    <mergeCell ref="A5:C5"/>
    <mergeCell ref="A6:C7"/>
    <mergeCell ref="A8:C8"/>
    <mergeCell ref="D5:F5"/>
    <mergeCell ref="D6:F7"/>
    <mergeCell ref="D8:F8"/>
    <mergeCell ref="G5:I5"/>
    <mergeCell ref="G6:I7"/>
    <mergeCell ref="G8:I8"/>
    <mergeCell ref="J5:L5"/>
    <mergeCell ref="J6:L7"/>
    <mergeCell ref="J8:L8"/>
    <mergeCell ref="M5:O5"/>
    <mergeCell ref="M6:O7"/>
    <mergeCell ref="M8:O8"/>
    <mergeCell ref="H44:O44"/>
    <mergeCell ref="A45:O45"/>
    <mergeCell ref="A47:O47"/>
    <mergeCell ref="A48:O48"/>
    <mergeCell ref="A49:O49"/>
    <mergeCell ref="A50:O50"/>
    <mergeCell ref="A51:O51"/>
  </mergeCells>
  <pageMargins left="0.25" right="0.25" top="0.3" bottom="0.3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6"/>
  <sheetViews>
    <sheetView showGridLines="0" workbookViewId="0"/>
  </sheetViews>
  <sheetFormatPr defaultRowHeight="15"/>
  <cols>
    <col min="1" max="1" width="16.7109375" customWidth="1"/>
    <col min="2" max="8" width="14.7109375" customWidth="1"/>
  </cols>
  <sheetData>
    <row r="1" spans="1:8" ht="34" customHeight="1">
      <c r="A1" s="1" t="s">
        <v>178</v>
      </c>
      <c r="B1" s="1"/>
      <c r="C1" s="1"/>
      <c r="D1" s="1"/>
      <c r="E1" s="1"/>
      <c r="F1" s="1"/>
      <c r="G1" s="1"/>
      <c r="H1" s="1"/>
    </row>
    <row r="2" spans="1:8">
      <c r="A2" s="10" t="s">
        <v>179</v>
      </c>
      <c r="B2" s="10"/>
      <c r="C2" s="10"/>
      <c r="D2" s="10"/>
      <c r="E2" s="10"/>
      <c r="F2" s="10"/>
      <c r="G2" s="10"/>
      <c r="H2" s="10"/>
    </row>
    <row r="5" spans="1:8">
      <c r="A5" s="7" t="s">
        <v>180</v>
      </c>
      <c r="B5" s="7"/>
      <c r="C5" s="7"/>
      <c r="D5" s="7"/>
      <c r="E5" s="7"/>
      <c r="F5" s="7"/>
      <c r="G5" s="7"/>
      <c r="H5" s="7"/>
    </row>
    <row r="6" spans="1:8">
      <c r="A6" s="11" t="s">
        <v>85</v>
      </c>
      <c r="B6" s="11" t="s">
        <v>9</v>
      </c>
      <c r="C6" s="11" t="s">
        <v>3</v>
      </c>
      <c r="D6" s="11" t="s">
        <v>86</v>
      </c>
      <c r="E6" s="11" t="s">
        <v>87</v>
      </c>
      <c r="F6" s="11" t="s">
        <v>181</v>
      </c>
      <c r="G6" s="11" t="s">
        <v>182</v>
      </c>
      <c r="H6" s="11" t="s">
        <v>183</v>
      </c>
    </row>
    <row r="7" spans="1:8">
      <c r="A7" s="12" t="s">
        <v>88</v>
      </c>
      <c r="B7" s="14">
        <v>1257</v>
      </c>
      <c r="C7" s="13">
        <v>11290711.88</v>
      </c>
      <c r="D7" s="16">
        <v>0.2147983595352016</v>
      </c>
      <c r="E7" s="16">
        <v>0.6879513378576851</v>
      </c>
      <c r="F7" s="14">
        <v>19.4</v>
      </c>
      <c r="G7" s="37">
        <v>17.3</v>
      </c>
      <c r="H7" s="13">
        <v>8982.299999999999</v>
      </c>
    </row>
    <row r="8" spans="1:8">
      <c r="A8" s="12" t="s">
        <v>89</v>
      </c>
      <c r="B8" s="14">
        <v>1322</v>
      </c>
      <c r="C8" s="13">
        <v>2575818.83</v>
      </c>
      <c r="D8" s="16">
        <v>0.2259056732740943</v>
      </c>
      <c r="E8" s="16">
        <v>0.1569465261673556</v>
      </c>
      <c r="F8" s="14">
        <v>70.7</v>
      </c>
      <c r="G8" s="37">
        <v>5.7</v>
      </c>
      <c r="H8" s="13">
        <v>1948.4</v>
      </c>
    </row>
    <row r="9" spans="1:8">
      <c r="A9" s="12" t="s">
        <v>90</v>
      </c>
      <c r="B9" s="14">
        <v>710</v>
      </c>
      <c r="C9" s="13">
        <v>1372330.91</v>
      </c>
      <c r="D9" s="16">
        <v>0.1213260423786739</v>
      </c>
      <c r="E9" s="16">
        <v>0.0836171268336308</v>
      </c>
      <c r="F9" s="14">
        <v>359.2</v>
      </c>
      <c r="G9" s="37">
        <v>5.5</v>
      </c>
      <c r="H9" s="13">
        <v>1932.9</v>
      </c>
    </row>
    <row r="10" spans="1:8">
      <c r="A10" s="12" t="s">
        <v>91</v>
      </c>
      <c r="B10" s="14">
        <v>1631</v>
      </c>
      <c r="C10" s="13">
        <v>677958.4300000001</v>
      </c>
      <c r="D10" s="16">
        <v>0.2787081339712918</v>
      </c>
      <c r="E10" s="16">
        <v>0.0413085034380348</v>
      </c>
      <c r="F10" s="14">
        <v>453.5</v>
      </c>
      <c r="G10" s="37">
        <v>1.3</v>
      </c>
      <c r="H10" s="13">
        <v>415.7</v>
      </c>
    </row>
    <row r="11" spans="1:8">
      <c r="A11" s="12" t="s">
        <v>92</v>
      </c>
      <c r="B11" s="14">
        <v>511</v>
      </c>
      <c r="C11" s="13">
        <v>274596.33</v>
      </c>
      <c r="D11" s="16">
        <v>0.0873205741626794</v>
      </c>
      <c r="E11" s="16">
        <v>0.016731355355245</v>
      </c>
      <c r="F11" s="14">
        <v>27.2</v>
      </c>
      <c r="G11" s="37">
        <v>1.5</v>
      </c>
      <c r="H11" s="13">
        <v>537.4</v>
      </c>
    </row>
    <row r="12" spans="1:8">
      <c r="A12" s="12" t="s">
        <v>93</v>
      </c>
      <c r="B12" s="14">
        <v>421</v>
      </c>
      <c r="C12" s="13">
        <v>220662.87</v>
      </c>
      <c r="D12" s="16">
        <v>0.07194121667805869</v>
      </c>
      <c r="E12" s="16">
        <v>0.0134451503480484</v>
      </c>
      <c r="F12" s="14">
        <v>107.1</v>
      </c>
      <c r="G12" s="37">
        <v>1.4</v>
      </c>
      <c r="H12" s="13">
        <v>524.1</v>
      </c>
    </row>
    <row r="15" spans="1:8">
      <c r="A15" s="38" t="s">
        <v>184</v>
      </c>
    </row>
    <row r="16" spans="1:8">
      <c r="A16" s="38" t="s">
        <v>185</v>
      </c>
      <c r="B16" s="38" t="s">
        <v>186</v>
      </c>
    </row>
    <row r="17" spans="1:2">
      <c r="A17" s="39">
        <v>0.0001708817498291</v>
      </c>
      <c r="B17" s="39">
        <v>0.0352428617541393</v>
      </c>
    </row>
    <row r="18" spans="1:2">
      <c r="A18" s="39">
        <v>0.0034176349965823</v>
      </c>
      <c r="B18" s="39">
        <v>0.2154281396518533</v>
      </c>
    </row>
    <row r="19" spans="1:2">
      <c r="A19" s="39">
        <v>0.0068352699931647</v>
      </c>
      <c r="B19" s="39">
        <v>0.2753236677080981</v>
      </c>
    </row>
    <row r="20" spans="1:2">
      <c r="A20" s="39">
        <v>0.0100820232399179</v>
      </c>
      <c r="B20" s="39">
        <v>0.3113396734258409</v>
      </c>
    </row>
    <row r="21" spans="1:2">
      <c r="A21" s="39">
        <v>0.0134996582365003</v>
      </c>
      <c r="B21" s="39">
        <v>0.3409903820701435</v>
      </c>
    </row>
    <row r="22" spans="1:2">
      <c r="A22" s="39">
        <v>0.0167464114832535</v>
      </c>
      <c r="B22" s="39">
        <v>0.3645890951991211</v>
      </c>
    </row>
    <row r="23" spans="1:2">
      <c r="A23" s="39">
        <v>0.0201640464798359</v>
      </c>
      <c r="B23" s="39">
        <v>0.3856576566407315</v>
      </c>
    </row>
    <row r="24" spans="1:2">
      <c r="A24" s="39">
        <v>0.0234107997265892</v>
      </c>
      <c r="B24" s="39">
        <v>0.4040267301421958</v>
      </c>
    </row>
    <row r="25" spans="1:2">
      <c r="A25" s="39">
        <v>0.0268284347231715</v>
      </c>
      <c r="B25" s="39">
        <v>0.4211238800996756</v>
      </c>
    </row>
    <row r="26" spans="1:2">
      <c r="A26" s="39">
        <v>0.0302460697197539</v>
      </c>
      <c r="B26" s="39">
        <v>0.4368331194422243</v>
      </c>
    </row>
    <row r="27" spans="1:2">
      <c r="A27" s="39">
        <v>0.0334928229665071</v>
      </c>
      <c r="B27" s="39">
        <v>0.4509137619081839</v>
      </c>
    </row>
    <row r="28" spans="1:2">
      <c r="A28" s="39">
        <v>0.0369104579630895</v>
      </c>
      <c r="B28" s="39">
        <v>0.4648607071157415</v>
      </c>
    </row>
    <row r="29" spans="1:2">
      <c r="A29" s="39">
        <v>0.0401572112098427</v>
      </c>
      <c r="B29" s="39">
        <v>0.477114608463236</v>
      </c>
    </row>
    <row r="30" spans="1:2">
      <c r="A30" s="39">
        <v>0.0435748462064251</v>
      </c>
      <c r="B30" s="39">
        <v>0.4892779204358181</v>
      </c>
    </row>
    <row r="31" spans="1:2">
      <c r="A31" s="39">
        <v>0.0468215994531784</v>
      </c>
      <c r="B31" s="39">
        <v>0.5004402245682142</v>
      </c>
    </row>
    <row r="32" spans="1:2">
      <c r="A32" s="39">
        <v>0.0502392344497607</v>
      </c>
      <c r="B32" s="39">
        <v>0.5116517132059891</v>
      </c>
    </row>
    <row r="33" spans="1:13">
      <c r="A33" s="39">
        <v>0.0536568694463431</v>
      </c>
      <c r="B33" s="39">
        <v>0.5223094462919401</v>
      </c>
    </row>
    <row r="34" spans="1:13">
      <c r="A34" s="39">
        <v>0.0569036226930963</v>
      </c>
      <c r="B34" s="39">
        <v>0.5320363375406028</v>
      </c>
    </row>
    <row r="35" spans="1:13">
      <c r="A35" s="39">
        <v>0.0603212576896787</v>
      </c>
      <c r="B35" s="39">
        <v>0.541950047896939</v>
      </c>
    </row>
    <row r="36" spans="1:13">
      <c r="A36" s="7" t="s">
        <v>187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38" t="s">
        <v>188</v>
      </c>
      <c r="B37" s="38" t="s">
        <v>189</v>
      </c>
      <c r="C37" s="38" t="s">
        <v>190</v>
      </c>
      <c r="D37" s="38" t="s">
        <v>191</v>
      </c>
      <c r="E37" s="38" t="s">
        <v>192</v>
      </c>
      <c r="F37" s="38" t="s">
        <v>193</v>
      </c>
      <c r="G37" s="38" t="s">
        <v>194</v>
      </c>
      <c r="H37" s="38" t="s">
        <v>195</v>
      </c>
      <c r="I37" s="38" t="s">
        <v>196</v>
      </c>
      <c r="J37" s="38" t="s">
        <v>197</v>
      </c>
      <c r="K37" s="38" t="s">
        <v>198</v>
      </c>
      <c r="L37" s="38" t="s">
        <v>199</v>
      </c>
      <c r="M37" s="38" t="s">
        <v>200</v>
      </c>
    </row>
    <row r="38" spans="1:13">
      <c r="A38" t="s">
        <v>45</v>
      </c>
      <c r="B38" s="40">
        <v>1</v>
      </c>
      <c r="C38" s="40">
        <v>0.3501577287066246</v>
      </c>
      <c r="D38" s="40">
        <v>0.3333333333333333</v>
      </c>
      <c r="E38" s="40">
        <v>0.4248159831756046</v>
      </c>
      <c r="F38" s="40">
        <v>0.3785488958990536</v>
      </c>
      <c r="G38" s="40">
        <v>0.3596214511041009</v>
      </c>
      <c r="H38" s="40">
        <v>0.3764458464773922</v>
      </c>
      <c r="I38" s="40">
        <v>0.3438485804416404</v>
      </c>
      <c r="J38" s="40">
        <v>0.3375394321766561</v>
      </c>
      <c r="K38" s="40">
        <v>0.3617245005257624</v>
      </c>
      <c r="L38" s="40">
        <v>0.4216614090431125</v>
      </c>
      <c r="M38" s="40">
        <v>0.4963196635120925</v>
      </c>
    </row>
    <row r="39" spans="1:13">
      <c r="A39" t="s">
        <v>46</v>
      </c>
      <c r="B39" s="40">
        <v>1</v>
      </c>
      <c r="C39" s="40">
        <v>0.2146739130434782</v>
      </c>
      <c r="D39" s="40">
        <v>0.3206521739130434</v>
      </c>
      <c r="E39" s="40">
        <v>0.3152173913043478</v>
      </c>
      <c r="F39" s="40">
        <v>0.2717391304347826</v>
      </c>
      <c r="G39" s="40">
        <v>0.3097826086956521</v>
      </c>
      <c r="H39" s="40">
        <v>0.2690217391304347</v>
      </c>
      <c r="I39" s="40">
        <v>0.233695652173913</v>
      </c>
      <c r="J39" s="40">
        <v>0.2853260869565217</v>
      </c>
      <c r="K39" s="40">
        <v>0.3260869565217391</v>
      </c>
      <c r="L39" s="40">
        <v>0.3097826086956521</v>
      </c>
      <c r="M39" s="40">
        <v>0.1793478260869565</v>
      </c>
    </row>
    <row r="40" spans="1:13">
      <c r="A40" t="s">
        <v>47</v>
      </c>
      <c r="B40" s="40">
        <v>1</v>
      </c>
      <c r="C40" s="40">
        <v>0.2346666666666666</v>
      </c>
      <c r="D40" s="40">
        <v>0.2266666666666666</v>
      </c>
      <c r="E40" s="40">
        <v>0.2933333333333333</v>
      </c>
      <c r="F40" s="40">
        <v>0.2453333333333333</v>
      </c>
      <c r="G40" s="40">
        <v>0.1973333333333333</v>
      </c>
      <c r="H40" s="40">
        <v>0.192</v>
      </c>
      <c r="I40" s="40">
        <v>0.288</v>
      </c>
      <c r="J40" s="40">
        <v>0.256</v>
      </c>
      <c r="K40" s="40">
        <v>0.2773333333333333</v>
      </c>
      <c r="L40" s="40">
        <v>0.1146666666666666</v>
      </c>
      <c r="M40" s="40">
        <v>0.1253333333333333</v>
      </c>
    </row>
    <row r="41" spans="1:13">
      <c r="A41" t="s">
        <v>48</v>
      </c>
      <c r="B41" s="40">
        <v>1</v>
      </c>
      <c r="C41" s="40">
        <v>0.1904761904761904</v>
      </c>
      <c r="D41" s="40">
        <v>0.2312925170068027</v>
      </c>
      <c r="E41" s="40">
        <v>0.2426303854875283</v>
      </c>
      <c r="F41" s="40">
        <v>0.2312925170068027</v>
      </c>
      <c r="G41" s="40">
        <v>0.2040816326530612</v>
      </c>
      <c r="H41" s="40">
        <v>0.2471655328798186</v>
      </c>
      <c r="I41" s="40">
        <v>0.3061224489795918</v>
      </c>
      <c r="J41" s="40">
        <v>0.2766439909297052</v>
      </c>
      <c r="K41" s="40">
        <v>0.1088435374149659</v>
      </c>
      <c r="L41" s="40">
        <v>0.1156462585034013</v>
      </c>
      <c r="M41" s="40">
        <v>0.1451247165532879</v>
      </c>
    </row>
    <row r="42" spans="1:13">
      <c r="A42" t="s">
        <v>49</v>
      </c>
      <c r="B42" s="40">
        <v>1</v>
      </c>
      <c r="C42" s="40">
        <v>0.1904761904761904</v>
      </c>
      <c r="D42" s="40">
        <v>0.1904761904761904</v>
      </c>
      <c r="E42" s="40">
        <v>0.1598639455782313</v>
      </c>
      <c r="F42" s="40">
        <v>0.1836734693877551</v>
      </c>
      <c r="G42" s="40">
        <v>0.2210884353741496</v>
      </c>
      <c r="H42" s="40">
        <v>0.2755102040816326</v>
      </c>
      <c r="I42" s="40">
        <v>0.2653061224489796</v>
      </c>
      <c r="J42" s="40">
        <v>0.1054421768707483</v>
      </c>
      <c r="K42" s="40">
        <v>0.1088435374149659</v>
      </c>
      <c r="L42" s="40">
        <v>0.0748299319727891</v>
      </c>
      <c r="M42" s="40">
        <v>0.1394557823129251</v>
      </c>
    </row>
    <row r="43" spans="1:13">
      <c r="A43" t="s">
        <v>50</v>
      </c>
      <c r="B43" s="40">
        <v>1</v>
      </c>
      <c r="C43" s="40">
        <v>0.1568627450980392</v>
      </c>
      <c r="D43" s="40">
        <v>0.1686274509803921</v>
      </c>
      <c r="E43" s="40">
        <v>0.1764705882352941</v>
      </c>
      <c r="F43" s="40">
        <v>0.1764705882352941</v>
      </c>
      <c r="G43" s="40">
        <v>0.2549019607843137</v>
      </c>
      <c r="H43" s="40">
        <v>0.2117647058823529</v>
      </c>
      <c r="I43" s="40">
        <v>0.1254901960784313</v>
      </c>
      <c r="J43" s="40">
        <v>0.0588235294117647</v>
      </c>
      <c r="K43" s="40">
        <v>0.0823529411764705</v>
      </c>
      <c r="L43" s="40">
        <v>0.1137254901960784</v>
      </c>
      <c r="M43" s="40">
        <v>0.1333333333333333</v>
      </c>
    </row>
    <row r="44" spans="1:13">
      <c r="A44" t="s">
        <v>51</v>
      </c>
      <c r="B44" s="40">
        <v>1</v>
      </c>
      <c r="C44" s="40">
        <v>0.1760299625468165</v>
      </c>
      <c r="D44" s="40">
        <v>0.1872659176029962</v>
      </c>
      <c r="E44" s="40">
        <v>0.2059925093632958</v>
      </c>
      <c r="F44" s="40">
        <v>0.2322097378277153</v>
      </c>
      <c r="G44" s="40">
        <v>0.2846441947565543</v>
      </c>
      <c r="H44" s="40">
        <v>0.1273408239700374</v>
      </c>
      <c r="I44" s="40">
        <v>0.0898876404494382</v>
      </c>
      <c r="J44" s="40">
        <v>0.0823970037453183</v>
      </c>
      <c r="K44" s="40">
        <v>0.1123595505617977</v>
      </c>
      <c r="L44" s="40">
        <v>0.1048689138576779</v>
      </c>
      <c r="M44" s="40">
        <v>0.1385767790262172</v>
      </c>
    </row>
    <row r="45" spans="1:13">
      <c r="A45" t="s">
        <v>52</v>
      </c>
      <c r="B45" s="40">
        <v>1</v>
      </c>
      <c r="C45" s="40">
        <v>0.1567567567567567</v>
      </c>
      <c r="D45" s="40">
        <v>0.1837837837837838</v>
      </c>
      <c r="E45" s="40">
        <v>0.2972972972972973</v>
      </c>
      <c r="F45" s="40">
        <v>0.2918918918918919</v>
      </c>
      <c r="G45" s="40">
        <v>0.1405405405405405</v>
      </c>
      <c r="H45" s="40">
        <v>0.1135135135135135</v>
      </c>
      <c r="I45" s="40">
        <v>0.1459459459459459</v>
      </c>
      <c r="J45" s="40">
        <v>0.1459459459459459</v>
      </c>
      <c r="K45" s="40">
        <v>0.1135135135135135</v>
      </c>
      <c r="L45" s="40">
        <v>0.1351351351351351</v>
      </c>
      <c r="M45" s="40">
        <v>0.1459459459459459</v>
      </c>
    </row>
    <row r="46" spans="1:13">
      <c r="A46" t="s">
        <v>53</v>
      </c>
      <c r="B46" s="40">
        <v>1</v>
      </c>
      <c r="C46" s="40">
        <v>0.1963190184049079</v>
      </c>
      <c r="D46" s="40">
        <v>0.2883435582822086</v>
      </c>
      <c r="E46" s="40">
        <v>0.3251533742331288</v>
      </c>
      <c r="F46" s="40">
        <v>0.1656441717791411</v>
      </c>
      <c r="G46" s="40">
        <v>0.1165644171779141</v>
      </c>
      <c r="H46" s="40">
        <v>0.09815950920245391</v>
      </c>
      <c r="I46" s="40">
        <v>0.1288343558282208</v>
      </c>
      <c r="J46" s="40">
        <v>0.1349693251533742</v>
      </c>
      <c r="K46" s="40">
        <v>0.1288343558282208</v>
      </c>
      <c r="L46" s="40">
        <v>0.1288343558282208</v>
      </c>
      <c r="M46" s="40">
        <v>0.1165644171779141</v>
      </c>
    </row>
    <row r="47" spans="1:13">
      <c r="A47" t="s">
        <v>54</v>
      </c>
      <c r="B47" s="40">
        <v>1</v>
      </c>
      <c r="C47" s="40">
        <v>0.2301255230125523</v>
      </c>
      <c r="D47" s="40">
        <v>0.2343096234309623</v>
      </c>
      <c r="E47" s="40">
        <v>0.1297071129707113</v>
      </c>
      <c r="F47" s="40">
        <v>0.0878661087866108</v>
      </c>
      <c r="G47" s="40">
        <v>0.104602510460251</v>
      </c>
      <c r="H47" s="40">
        <v>0.1380753138075313</v>
      </c>
      <c r="I47" s="40">
        <v>0.09623430962343089</v>
      </c>
      <c r="J47" s="40">
        <v>0.1297071129707113</v>
      </c>
      <c r="K47" s="40">
        <v>0.1297071129707113</v>
      </c>
      <c r="L47" s="40">
        <v>0.1213389121338912</v>
      </c>
      <c r="M47" s="40">
        <v>0.100418410041841</v>
      </c>
    </row>
    <row r="48" spans="1:13">
      <c r="A48" t="s">
        <v>55</v>
      </c>
      <c r="B48" s="40">
        <v>1</v>
      </c>
      <c r="C48" s="40">
        <v>0.2586666666666666</v>
      </c>
      <c r="D48" s="40">
        <v>0.1466666666666666</v>
      </c>
      <c r="E48" s="40">
        <v>0.1253333333333333</v>
      </c>
      <c r="F48" s="40">
        <v>0.08799999999999999</v>
      </c>
      <c r="G48" s="40">
        <v>0.0826666666666666</v>
      </c>
      <c r="H48" s="40">
        <v>0.1306666666666666</v>
      </c>
      <c r="I48" s="40">
        <v>0.1386666666666666</v>
      </c>
      <c r="J48" s="40">
        <v>0.1066666666666666</v>
      </c>
      <c r="K48" s="40">
        <v>0.0933333333333333</v>
      </c>
      <c r="L48" s="40">
        <v>0.1066666666666666</v>
      </c>
      <c r="M48" s="40">
        <v>0.128</v>
      </c>
    </row>
    <row r="49" spans="1:13">
      <c r="A49" t="s">
        <v>56</v>
      </c>
      <c r="B49" s="40">
        <v>1</v>
      </c>
      <c r="C49" s="40">
        <v>0.1748466257668711</v>
      </c>
      <c r="D49" s="40">
        <v>0.09509202453987731</v>
      </c>
      <c r="E49" s="40">
        <v>0.09509202453987731</v>
      </c>
      <c r="F49" s="40">
        <v>0.0766871165644171</v>
      </c>
      <c r="G49" s="40">
        <v>0.0889570552147239</v>
      </c>
      <c r="H49" s="40">
        <v>0.1288343558282208</v>
      </c>
      <c r="I49" s="40">
        <v>0.1012269938650306</v>
      </c>
      <c r="J49" s="40">
        <v>0.0858895705521472</v>
      </c>
      <c r="K49" s="40">
        <v>0.0920245398773006</v>
      </c>
      <c r="L49" s="40">
        <v>0.1104294478527607</v>
      </c>
      <c r="M49" s="40">
        <v>0.147239263803681</v>
      </c>
    </row>
    <row r="50" spans="1:13">
      <c r="A50" t="s">
        <v>57</v>
      </c>
      <c r="B50" s="40">
        <v>1</v>
      </c>
      <c r="C50" s="40">
        <v>0.0921052631578947</v>
      </c>
      <c r="D50" s="40">
        <v>0.0526315789473684</v>
      </c>
      <c r="E50" s="40">
        <v>0.0921052631578947</v>
      </c>
      <c r="F50" s="40">
        <v>0.1184210526315789</v>
      </c>
      <c r="G50" s="40">
        <v>0.06578947368421049</v>
      </c>
      <c r="H50" s="40">
        <v>0.0526315789473684</v>
      </c>
      <c r="I50" s="40">
        <v>0.0921052631578947</v>
      </c>
      <c r="J50" s="40">
        <v>0.0526315789473684</v>
      </c>
      <c r="K50" s="40">
        <v>0.0263157894736842</v>
      </c>
      <c r="L50" s="40">
        <v>0.0921052631578947</v>
      </c>
      <c r="M50" s="40">
        <v>0.1973684210526315</v>
      </c>
    </row>
    <row r="51" spans="1:13">
      <c r="A51" t="s">
        <v>58</v>
      </c>
      <c r="B51" s="40">
        <v>1</v>
      </c>
      <c r="C51" s="40">
        <v>0.1666666666666666</v>
      </c>
      <c r="D51" s="40">
        <v>0.2222222222222222</v>
      </c>
      <c r="E51" s="40">
        <v>0.1944444444444444</v>
      </c>
      <c r="F51" s="40">
        <v>0.2222222222222222</v>
      </c>
      <c r="G51" s="40">
        <v>0.1527777777777778</v>
      </c>
      <c r="H51" s="40">
        <v>0.1527777777777778</v>
      </c>
      <c r="I51" s="40">
        <v>0.125</v>
      </c>
      <c r="J51" s="40">
        <v>0.1111111111111111</v>
      </c>
      <c r="K51" s="40">
        <v>0.2083333333333333</v>
      </c>
      <c r="L51" s="40">
        <v>0.25</v>
      </c>
      <c r="M51" s="40">
        <v>0.1111111111111111</v>
      </c>
    </row>
    <row r="52" spans="1:13">
      <c r="A52" t="s">
        <v>59</v>
      </c>
      <c r="B52" s="40">
        <v>1</v>
      </c>
      <c r="C52" s="40">
        <v>0.16</v>
      </c>
      <c r="D52" s="40">
        <v>0.16</v>
      </c>
      <c r="E52" s="40">
        <v>0.184</v>
      </c>
      <c r="F52" s="40">
        <v>0.216</v>
      </c>
      <c r="G52" s="40">
        <v>0.16</v>
      </c>
      <c r="H52" s="40">
        <v>0.16</v>
      </c>
      <c r="I52" s="40">
        <v>0.152</v>
      </c>
      <c r="J52" s="40">
        <v>0.152</v>
      </c>
      <c r="K52" s="40">
        <v>0.184</v>
      </c>
      <c r="L52" s="40">
        <v>0.064</v>
      </c>
    </row>
    <row r="53" spans="1:13">
      <c r="A53" t="s">
        <v>60</v>
      </c>
      <c r="B53" s="40">
        <v>1</v>
      </c>
      <c r="C53" s="40">
        <v>0.1787709497206704</v>
      </c>
      <c r="D53" s="40">
        <v>0.217877094972067</v>
      </c>
      <c r="E53" s="40">
        <v>0.2011173184357542</v>
      </c>
      <c r="F53" s="40">
        <v>0.2234636871508379</v>
      </c>
      <c r="G53" s="40">
        <v>0.1508379888268156</v>
      </c>
      <c r="H53" s="40">
        <v>0.2067039106145251</v>
      </c>
      <c r="I53" s="40">
        <v>0.2011173184357542</v>
      </c>
      <c r="J53" s="40">
        <v>0.2402234636871508</v>
      </c>
      <c r="K53" s="40">
        <v>0.0949720670391061</v>
      </c>
    </row>
    <row r="54" spans="1:13">
      <c r="A54" t="s">
        <v>61</v>
      </c>
      <c r="B54" s="40">
        <v>1</v>
      </c>
      <c r="C54" s="40">
        <v>0.2452830188679245</v>
      </c>
      <c r="D54" s="40">
        <v>0.1981132075471698</v>
      </c>
      <c r="E54" s="40">
        <v>0.1981132075471698</v>
      </c>
      <c r="F54" s="40">
        <v>0.1792452830188679</v>
      </c>
      <c r="G54" s="40">
        <v>0.2358490566037736</v>
      </c>
      <c r="H54" s="40">
        <v>0.1792452830188679</v>
      </c>
      <c r="I54" s="40">
        <v>0.2547169811320754</v>
      </c>
      <c r="J54" s="40">
        <v>0.1132075471698113</v>
      </c>
    </row>
    <row r="55" spans="1:13">
      <c r="A55" t="s">
        <v>62</v>
      </c>
      <c r="B55" s="40">
        <v>1</v>
      </c>
      <c r="C55" s="40">
        <v>0.2342342342342342</v>
      </c>
      <c r="D55" s="40">
        <v>0.2432432432432432</v>
      </c>
      <c r="E55" s="40">
        <v>0.1621621621621621</v>
      </c>
      <c r="F55" s="40">
        <v>0.2162162162162162</v>
      </c>
      <c r="G55" s="40">
        <v>0.2072072072072072</v>
      </c>
      <c r="H55" s="40">
        <v>0.2612612612612612</v>
      </c>
      <c r="I55" s="40">
        <v>0.1171171171171171</v>
      </c>
    </row>
    <row r="56" spans="1:13">
      <c r="A56" s="39">
        <v>0.1305536568694463</v>
      </c>
      <c r="B56" s="39">
        <v>0.6821613318767326</v>
      </c>
    </row>
    <row r="57" spans="1:13">
      <c r="A57" s="39">
        <v>0.1338004101161996</v>
      </c>
      <c r="B57" s="39">
        <v>0.6869600748522395</v>
      </c>
    </row>
    <row r="58" spans="1:13">
      <c r="A58" s="39">
        <v>0.1372180451127819</v>
      </c>
      <c r="B58" s="39">
        <v>0.691908544743088</v>
      </c>
    </row>
    <row r="59" spans="1:13">
      <c r="A59" s="39">
        <v>0.1404647983595352</v>
      </c>
      <c r="B59" s="39">
        <v>0.69650718875791</v>
      </c>
    </row>
    <row r="60" spans="1:13">
      <c r="A60" s="39">
        <v>0.1438824333561175</v>
      </c>
      <c r="B60" s="39">
        <v>0.7012459039949948</v>
      </c>
    </row>
    <row r="61" spans="1:13">
      <c r="A61" s="39">
        <v>0.1473000683526999</v>
      </c>
      <c r="B61" s="39">
        <v>0.705889907893156</v>
      </c>
    </row>
    <row r="62" spans="1:13">
      <c r="A62" s="39">
        <v>0.1505468215994531</v>
      </c>
      <c r="B62" s="39">
        <v>0.710209259447162</v>
      </c>
    </row>
    <row r="63" spans="1:13">
      <c r="A63" s="39">
        <v>0.1539644565960355</v>
      </c>
      <c r="B63" s="39">
        <v>0.7146488413492127</v>
      </c>
    </row>
    <row r="64" spans="1:13">
      <c r="A64" s="39">
        <v>0.1572112098427888</v>
      </c>
      <c r="B64" s="39">
        <v>0.7187832767232317</v>
      </c>
    </row>
    <row r="65" spans="1:2">
      <c r="A65" s="39">
        <v>0.1606288448393711</v>
      </c>
      <c r="B65" s="39">
        <v>0.7230403576785756</v>
      </c>
    </row>
    <row r="66" spans="1:2">
      <c r="A66" s="39">
        <v>0.1638755980861244</v>
      </c>
      <c r="B66" s="39">
        <v>0.7270136074428869</v>
      </c>
    </row>
    <row r="67" spans="1:2">
      <c r="A67" s="39">
        <v>0.1672932330827067</v>
      </c>
      <c r="B67" s="39">
        <v>0.7311234687825053</v>
      </c>
    </row>
    <row r="68" spans="1:2">
      <c r="A68" s="39">
        <v>0.17053998632946</v>
      </c>
      <c r="B68" s="39">
        <v>0.7349561915626793</v>
      </c>
    </row>
    <row r="69" spans="1:2">
      <c r="A69" s="39">
        <v>0.1739576213260423</v>
      </c>
      <c r="B69" s="39">
        <v>0.7389400207299649</v>
      </c>
    </row>
    <row r="70" spans="1:2">
      <c r="A70" s="39">
        <v>0.1773752563226247</v>
      </c>
      <c r="B70" s="39">
        <v>0.7428263022327585</v>
      </c>
    </row>
    <row r="71" spans="1:2">
      <c r="A71" s="39">
        <v>0.180622009569378</v>
      </c>
      <c r="B71" s="39">
        <v>0.7464665771242488</v>
      </c>
    </row>
    <row r="72" spans="1:2">
      <c r="A72" s="39">
        <v>0.1840396445659603</v>
      </c>
      <c r="B72" s="39">
        <v>0.7502421407848576</v>
      </c>
    </row>
    <row r="73" spans="1:2">
      <c r="A73" s="39">
        <v>0.1872863978127136</v>
      </c>
      <c r="B73" s="39">
        <v>0.7537771931768695</v>
      </c>
    </row>
    <row r="74" spans="1:2">
      <c r="A74" s="39">
        <v>0.1907040328092959</v>
      </c>
      <c r="B74" s="39">
        <v>0.7574488577534962</v>
      </c>
    </row>
    <row r="75" spans="1:2">
      <c r="A75" s="39">
        <v>0.1939507860560492</v>
      </c>
      <c r="B75" s="39">
        <v>0.7608804456195063</v>
      </c>
    </row>
    <row r="76" spans="1:2">
      <c r="A76" s="39">
        <v>0.1973684210526315</v>
      </c>
      <c r="B76" s="39">
        <v>0.7644167099237755</v>
      </c>
    </row>
    <row r="77" spans="1:2">
      <c r="A77" s="39">
        <v>0.2007860560492139</v>
      </c>
      <c r="B77" s="39">
        <v>0.7678986422944377</v>
      </c>
    </row>
    <row r="78" spans="1:2">
      <c r="A78" s="39">
        <v>0.2040328092959671</v>
      </c>
      <c r="B78" s="39">
        <v>0.7711511509617814</v>
      </c>
    </row>
    <row r="79" spans="1:2">
      <c r="A79" s="39">
        <v>0.2074504442925495</v>
      </c>
      <c r="B79" s="39">
        <v>0.7745151689615174</v>
      </c>
    </row>
    <row r="80" spans="1:2">
      <c r="A80" s="39">
        <v>0.2106971975393028</v>
      </c>
      <c r="B80" s="39">
        <v>0.7776602640602651</v>
      </c>
    </row>
    <row r="81" spans="1:2">
      <c r="A81" s="39">
        <v>0.2141148325358851</v>
      </c>
      <c r="B81" s="39">
        <v>0.7808691402914488</v>
      </c>
    </row>
    <row r="82" spans="1:2">
      <c r="A82" s="39">
        <v>0.2173615857826384</v>
      </c>
      <c r="B82" s="39">
        <v>0.7838638211761993</v>
      </c>
    </row>
    <row r="83" spans="1:2">
      <c r="A83" s="39">
        <v>0.2207792207792207</v>
      </c>
      <c r="B83" s="39">
        <v>0.7869662001760636</v>
      </c>
    </row>
    <row r="84" spans="1:2">
      <c r="A84" s="39">
        <v>0.2241968557758031</v>
      </c>
      <c r="B84" s="39">
        <v>0.790014880312625</v>
      </c>
    </row>
    <row r="85" spans="1:2">
      <c r="A85" s="39">
        <v>0.2274436090225564</v>
      </c>
      <c r="B85" s="39">
        <v>0.7928709169728531</v>
      </c>
    </row>
    <row r="86" spans="1:2">
      <c r="A86" s="39">
        <v>0.2308612440191387</v>
      </c>
      <c r="B86" s="39">
        <v>0.7958264565647587</v>
      </c>
    </row>
    <row r="87" spans="1:2">
      <c r="A87" s="39">
        <v>0.234107997265892</v>
      </c>
      <c r="B87" s="39">
        <v>0.7985903690049383</v>
      </c>
    </row>
    <row r="88" spans="1:2">
      <c r="A88" s="39">
        <v>0.2375256322624743</v>
      </c>
      <c r="B88" s="39">
        <v>0.8014396423539288</v>
      </c>
    </row>
    <row r="89" spans="1:2">
      <c r="A89" s="39">
        <v>0.2407723855092276</v>
      </c>
      <c r="B89" s="39">
        <v>0.8041013788312239</v>
      </c>
    </row>
    <row r="90" spans="1:2">
      <c r="A90" s="39">
        <v>0.2441900205058099</v>
      </c>
      <c r="B90" s="39">
        <v>0.8068664026479531</v>
      </c>
    </row>
    <row r="91" spans="1:2">
      <c r="A91" s="39">
        <v>0.2476076555023923</v>
      </c>
      <c r="B91" s="39">
        <v>0.8095869019416769</v>
      </c>
    </row>
    <row r="92" spans="1:2">
      <c r="A92" s="39">
        <v>0.2508544087491456</v>
      </c>
      <c r="B92" s="39">
        <v>0.81212119265366</v>
      </c>
    </row>
    <row r="93" spans="1:2">
      <c r="A93" s="39">
        <v>0.254272043745728</v>
      </c>
      <c r="B93" s="39">
        <v>0.8147493757955301</v>
      </c>
    </row>
    <row r="94" spans="1:2">
      <c r="A94" s="39">
        <v>0.2575187969924812</v>
      </c>
      <c r="B94" s="39">
        <v>0.8172137296041673</v>
      </c>
    </row>
    <row r="95" spans="1:2">
      <c r="A95" s="39">
        <v>0.2609364319890636</v>
      </c>
      <c r="B95" s="39">
        <v>0.8197694417335532</v>
      </c>
    </row>
    <row r="96" spans="1:2">
      <c r="A96" s="39">
        <v>0.2641831852358168</v>
      </c>
      <c r="B96" s="39">
        <v>0.822164591635549</v>
      </c>
    </row>
    <row r="97" spans="1:2">
      <c r="A97" s="39">
        <v>0.2676008202323992</v>
      </c>
      <c r="B97" s="39">
        <v>0.8246533756211291</v>
      </c>
    </row>
    <row r="98" spans="1:2">
      <c r="A98" s="39">
        <v>0.2710184552289815</v>
      </c>
      <c r="B98" s="39">
        <v>0.8271111391618075</v>
      </c>
    </row>
    <row r="99" spans="1:2">
      <c r="A99" s="39">
        <v>0.2742652084757347</v>
      </c>
      <c r="B99" s="39">
        <v>0.8294170852537335</v>
      </c>
    </row>
    <row r="100" spans="1:2">
      <c r="A100" s="39">
        <v>0.2776828434723171</v>
      </c>
      <c r="B100" s="39">
        <v>0.8318126050052718</v>
      </c>
    </row>
    <row r="101" spans="1:2">
      <c r="A101" s="39">
        <v>0.2809295967190704</v>
      </c>
      <c r="B101" s="39">
        <v>0.8340515803018794</v>
      </c>
    </row>
    <row r="102" spans="1:2">
      <c r="A102" s="39">
        <v>0.2843472317156528</v>
      </c>
      <c r="B102" s="39">
        <v>0.8363684445716492</v>
      </c>
    </row>
    <row r="103" spans="1:2">
      <c r="A103" s="39">
        <v>0.287593984962406</v>
      </c>
      <c r="B103" s="39">
        <v>0.8385259299497726</v>
      </c>
    </row>
    <row r="104" spans="1:2">
      <c r="A104" s="39">
        <v>0.2910116199589884</v>
      </c>
      <c r="B104" s="39">
        <v>0.8407605182336857</v>
      </c>
    </row>
    <row r="105" spans="1:2">
      <c r="A105" s="39">
        <v>0.2944292549555707</v>
      </c>
      <c r="B105" s="39">
        <v>0.8429717877172054</v>
      </c>
    </row>
    <row r="106" spans="1:2">
      <c r="A106" s="39">
        <v>0.297676008202324</v>
      </c>
      <c r="B106" s="39">
        <v>0.8450451977640292</v>
      </c>
    </row>
    <row r="107" spans="1:2">
      <c r="A107" s="39">
        <v>0.3010936431989063</v>
      </c>
      <c r="B107" s="39">
        <v>0.8471954225752119</v>
      </c>
    </row>
    <row r="108" spans="1:2">
      <c r="A108" s="39">
        <v>0.3043403964456596</v>
      </c>
      <c r="B108" s="39">
        <v>0.8492102739235591</v>
      </c>
    </row>
    <row r="109" spans="1:2">
      <c r="A109" s="39">
        <v>0.3077580314422419</v>
      </c>
      <c r="B109" s="39">
        <v>0.8513056744808216</v>
      </c>
    </row>
    <row r="110" spans="1:2">
      <c r="A110" s="39">
        <v>0.3110047846889952</v>
      </c>
      <c r="B110" s="39">
        <v>0.8532797199087294</v>
      </c>
    </row>
    <row r="111" spans="1:2">
      <c r="A111" s="39">
        <v>0.3144224196855776</v>
      </c>
      <c r="B111" s="39">
        <v>0.8553307677676502</v>
      </c>
    </row>
    <row r="112" spans="1:2">
      <c r="A112" s="39">
        <v>0.3178400546821599</v>
      </c>
      <c r="B112" s="39">
        <v>0.8573522757984543</v>
      </c>
    </row>
    <row r="113" spans="1:2">
      <c r="A113" s="39">
        <v>0.3210868079289132</v>
      </c>
      <c r="B113" s="39">
        <v>0.859241248519913</v>
      </c>
    </row>
    <row r="114" spans="1:2">
      <c r="A114" s="39">
        <v>0.3245044429254956</v>
      </c>
      <c r="B114" s="39">
        <v>0.8612067094170078</v>
      </c>
    </row>
    <row r="115" spans="1:2">
      <c r="A115" s="39">
        <v>0.3277511961722488</v>
      </c>
      <c r="B115" s="39">
        <v>0.8630474706968756</v>
      </c>
    </row>
    <row r="116" spans="1:2">
      <c r="A116" s="39">
        <v>0.3311688311688311</v>
      </c>
      <c r="B116" s="39">
        <v>0.8649531506250127</v>
      </c>
    </row>
    <row r="117" spans="1:2">
      <c r="A117" s="39">
        <v>0.3344155844155844</v>
      </c>
      <c r="B117" s="39">
        <v>0.8667409277590625</v>
      </c>
    </row>
    <row r="118" spans="1:2">
      <c r="A118" s="39">
        <v>0.3378332194121667</v>
      </c>
      <c r="B118" s="39">
        <v>0.8685994540031139</v>
      </c>
    </row>
    <row r="119" spans="1:2">
      <c r="A119" s="39">
        <v>0.34107997265892</v>
      </c>
      <c r="B119" s="39">
        <v>0.8703452200068478</v>
      </c>
    </row>
    <row r="120" spans="1:2">
      <c r="A120" s="39">
        <v>0.3444976076555024</v>
      </c>
      <c r="B120" s="39">
        <v>0.8721497323757127</v>
      </c>
    </row>
    <row r="121" spans="1:2">
      <c r="A121" s="39">
        <v>0.3479152426520847</v>
      </c>
      <c r="B121" s="39">
        <v>0.8739255896306872</v>
      </c>
    </row>
    <row r="122" spans="1:2">
      <c r="A122" s="39">
        <v>0.351161995898838</v>
      </c>
      <c r="B122" s="39">
        <v>0.8755933820284728</v>
      </c>
    </row>
    <row r="123" spans="1:2">
      <c r="A123" s="39">
        <v>0.3545796308954204</v>
      </c>
      <c r="B123" s="39">
        <v>0.8773266675903981</v>
      </c>
    </row>
    <row r="124" spans="1:2">
      <c r="A124" s="39">
        <v>0.3578263841421736</v>
      </c>
      <c r="B124" s="39">
        <v>0.8789502583371265</v>
      </c>
    </row>
    <row r="125" spans="1:2">
      <c r="A125" s="39">
        <v>0.361244019138756</v>
      </c>
      <c r="B125" s="39">
        <v>0.8806352081587679</v>
      </c>
    </row>
    <row r="126" spans="1:2">
      <c r="A126" s="39">
        <v>0.3644907723855092</v>
      </c>
      <c r="B126" s="39">
        <v>0.8822148191032335</v>
      </c>
    </row>
    <row r="127" spans="1:2">
      <c r="A127" s="39">
        <v>0.3679084073820916</v>
      </c>
      <c r="B127" s="39">
        <v>0.8838559481518224</v>
      </c>
    </row>
    <row r="128" spans="1:2">
      <c r="A128" s="39">
        <v>0.3713260423786739</v>
      </c>
      <c r="B128" s="39">
        <v>0.8854692781633043</v>
      </c>
    </row>
    <row r="129" spans="1:2">
      <c r="A129" s="39">
        <v>0.3745727956254272</v>
      </c>
      <c r="B129" s="39">
        <v>0.8869848375038154</v>
      </c>
    </row>
    <row r="130" spans="1:2">
      <c r="A130" s="39">
        <v>0.3779904306220095</v>
      </c>
      <c r="B130" s="39">
        <v>0.8885597872472931</v>
      </c>
    </row>
    <row r="131" spans="1:2">
      <c r="A131" s="39">
        <v>0.3812371838687628</v>
      </c>
      <c r="B131" s="39">
        <v>0.8900369705849517</v>
      </c>
    </row>
    <row r="132" spans="1:2">
      <c r="A132" s="39">
        <v>0.3846548188653452</v>
      </c>
      <c r="B132" s="39">
        <v>0.8915776979735686</v>
      </c>
    </row>
    <row r="133" spans="1:2">
      <c r="A133" s="39">
        <v>0.3879015721120984</v>
      </c>
      <c r="B133" s="39">
        <v>0.8930270847113488</v>
      </c>
    </row>
    <row r="134" spans="1:2">
      <c r="A134" s="39">
        <v>0.3913192071086808</v>
      </c>
      <c r="B134" s="39">
        <v>0.8945339656877201</v>
      </c>
    </row>
    <row r="135" spans="1:2">
      <c r="A135" s="39">
        <v>0.3947368421052631</v>
      </c>
      <c r="B135" s="39">
        <v>0.8960159125899961</v>
      </c>
    </row>
    <row r="136" spans="1:2">
      <c r="A136" s="39">
        <v>0.3979835953520164</v>
      </c>
      <c r="B136" s="39">
        <v>0.8974037062788527</v>
      </c>
    </row>
    <row r="137" spans="1:2">
      <c r="A137" s="39">
        <v>0.4014012303485987</v>
      </c>
      <c r="B137" s="39">
        <v>0.8988468920960508</v>
      </c>
    </row>
    <row r="138" spans="1:2">
      <c r="A138" s="39">
        <v>0.404647983595352</v>
      </c>
      <c r="B138" s="39">
        <v>0.9002059916753484</v>
      </c>
    </row>
    <row r="139" spans="1:2">
      <c r="A139" s="39">
        <v>0.4080656185919343</v>
      </c>
      <c r="B139" s="39">
        <v>0.9016196675204881</v>
      </c>
    </row>
    <row r="140" spans="1:2">
      <c r="A140" s="39">
        <v>0.4113123718386876</v>
      </c>
      <c r="B140" s="39">
        <v>0.9029456140792688</v>
      </c>
    </row>
    <row r="141" spans="1:2">
      <c r="A141" s="39">
        <v>0.41473000683527</v>
      </c>
      <c r="B141" s="39">
        <v>0.9043267431646737</v>
      </c>
    </row>
    <row r="142" spans="1:2">
      <c r="A142" s="39">
        <v>0.4181476418318524</v>
      </c>
      <c r="B142" s="39">
        <v>0.9056951444294984</v>
      </c>
    </row>
    <row r="143" spans="1:2">
      <c r="A143" s="39">
        <v>0.4213943950786056</v>
      </c>
      <c r="B143" s="39">
        <v>0.9069815841110432</v>
      </c>
    </row>
    <row r="144" spans="1:2">
      <c r="A144" s="39">
        <v>0.424812030075188</v>
      </c>
      <c r="B144" s="39">
        <v>0.9083209244633034</v>
      </c>
    </row>
    <row r="145" spans="1:2">
      <c r="A145" s="39">
        <v>0.4280587833219412</v>
      </c>
      <c r="B145" s="39">
        <v>0.90957408865356</v>
      </c>
    </row>
    <row r="146" spans="1:2">
      <c r="A146" s="39">
        <v>0.4314764183185235</v>
      </c>
      <c r="B146" s="39">
        <v>0.9108800694301226</v>
      </c>
    </row>
    <row r="147" spans="1:2">
      <c r="A147" s="39">
        <v>0.4347231715652768</v>
      </c>
      <c r="B147" s="39">
        <v>0.9121060646070396</v>
      </c>
    </row>
    <row r="148" spans="1:2">
      <c r="A148" s="39">
        <v>0.4381408065618592</v>
      </c>
      <c r="B148" s="39">
        <v>0.913385428402693</v>
      </c>
    </row>
    <row r="149" spans="1:2">
      <c r="A149" s="39">
        <v>0.4415584415584415</v>
      </c>
      <c r="B149" s="39">
        <v>0.9146504722577424</v>
      </c>
    </row>
    <row r="150" spans="1:2">
      <c r="A150" s="39">
        <v>0.4448051948051948</v>
      </c>
      <c r="B150" s="39">
        <v>0.9158377642947072</v>
      </c>
    </row>
    <row r="151" spans="1:2">
      <c r="A151" s="39">
        <v>0.4482228298017772</v>
      </c>
      <c r="B151" s="39">
        <v>0.917072102716739</v>
      </c>
    </row>
    <row r="152" spans="1:2">
      <c r="A152" s="39">
        <v>0.4514695830485304</v>
      </c>
      <c r="B152" s="39">
        <v>0.9182342601565699</v>
      </c>
    </row>
    <row r="153" spans="1:2">
      <c r="A153" s="39">
        <v>0.4548872180451128</v>
      </c>
      <c r="B153" s="39">
        <v>0.9194459884026204</v>
      </c>
    </row>
    <row r="154" spans="1:2">
      <c r="A154" s="39">
        <v>0.458133971291866</v>
      </c>
      <c r="B154" s="39">
        <v>0.920581060304214</v>
      </c>
    </row>
    <row r="155" spans="1:2">
      <c r="A155" s="39">
        <v>0.4615516062884484</v>
      </c>
      <c r="B155" s="39">
        <v>0.921759241307912</v>
      </c>
    </row>
    <row r="156" spans="1:2">
      <c r="A156" s="39">
        <v>0.4649692412850307</v>
      </c>
      <c r="B156" s="39">
        <v>0.92292156082349</v>
      </c>
    </row>
    <row r="157" spans="1:2">
      <c r="A157" s="39">
        <v>0.468215994531784</v>
      </c>
      <c r="B157" s="39">
        <v>0.9240143675136157</v>
      </c>
    </row>
    <row r="158" spans="1:2">
      <c r="A158" s="39">
        <v>0.4716336295283663</v>
      </c>
      <c r="B158" s="39">
        <v>0.92515279791715</v>
      </c>
    </row>
    <row r="159" spans="1:2">
      <c r="A159" s="39">
        <v>0.4748803827751196</v>
      </c>
      <c r="B159" s="39">
        <v>0.926223066938865</v>
      </c>
    </row>
    <row r="160" spans="1:2">
      <c r="A160" s="39">
        <v>0.478298017771702</v>
      </c>
      <c r="B160" s="39">
        <v>0.9273401130927428</v>
      </c>
    </row>
    <row r="161" spans="1:2">
      <c r="A161" s="39">
        <v>0.4815447710184552</v>
      </c>
      <c r="B161" s="39">
        <v>0.9283872619482506</v>
      </c>
    </row>
    <row r="162" spans="1:2">
      <c r="A162" s="39">
        <v>0.4849624060150376</v>
      </c>
      <c r="B162" s="39">
        <v>0.9294807498439588</v>
      </c>
    </row>
    <row r="163" spans="1:2">
      <c r="A163" s="39">
        <v>0.4883800410116199</v>
      </c>
      <c r="B163" s="39">
        <v>0.9305637326721858</v>
      </c>
    </row>
    <row r="164" spans="1:2">
      <c r="A164" s="39">
        <v>0.4916267942583732</v>
      </c>
      <c r="B164" s="39">
        <v>0.9315772349682488</v>
      </c>
    </row>
    <row r="165" spans="1:2">
      <c r="A165" s="39">
        <v>0.4950444292549555</v>
      </c>
      <c r="B165" s="39">
        <v>0.932630426324436</v>
      </c>
    </row>
    <row r="166" spans="1:2">
      <c r="A166" s="39">
        <v>0.4982911825017088</v>
      </c>
      <c r="B166" s="39">
        <v>0.9336171367683892</v>
      </c>
    </row>
  </sheetData>
  <mergeCells count="4">
    <mergeCell ref="A1:H1"/>
    <mergeCell ref="A2:H2"/>
    <mergeCell ref="A5:H5"/>
    <mergeCell ref="A36:M36"/>
  </mergeCells>
  <conditionalFormatting sqref="B38:M55">
    <cfRule type="colorScale" priority="1">
      <colorScale>
        <cfvo type="min" val="0"/>
        <cfvo type="percentile" val="50"/>
        <cfvo type="max" val="0"/>
        <color rgb="FFF7FBFC"/>
        <color rgb="FFA8DADC"/>
        <color rgb="FF0F4C5C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showGridLines="0" workbookViewId="0"/>
  </sheetViews>
  <sheetFormatPr defaultRowHeight="15" x14ac:dyDescent="0.25"/>
  <cols>
    <col min="1" max="1" width="38.7109375" customWidth="1"/>
    <col min="2" max="3" width="12.7109375" customWidth="1"/>
    <col min="4" max="7" width="14.7109375" customWidth="1"/>
    <col min="9" max="10" width="18.7109375" customWidth="1"/>
  </cols>
  <sheetData>
    <row r="1" spans="1:10" ht="34" customHeight="1" x14ac:dyDescent="0.25">
      <c r="A1" s="1" t="s">
        <v>201</v>
      </c>
      <c r="B1" s="1"/>
      <c r="C1" s="1"/>
      <c r="D1" s="1"/>
      <c r="E1" s="1"/>
      <c r="F1" s="1"/>
      <c r="G1" s="1"/>
    </row>
    <row r="4" spans="1:10" x14ac:dyDescent="0.25">
      <c r="A4" s="7" t="s">
        <v>202</v>
      </c>
      <c r="B4" s="7"/>
      <c r="C4" s="7"/>
      <c r="D4" s="7"/>
      <c r="E4" s="7"/>
      <c r="F4" s="7"/>
      <c r="G4" s="7"/>
      <c r="I4" s="41" t="s">
        <v>233</v>
      </c>
      <c r="J4" s="41"/>
    </row>
    <row r="5" spans="1:10" x14ac:dyDescent="0.25">
      <c r="A5" s="11" t="s">
        <v>101</v>
      </c>
      <c r="B5" s="11" t="s">
        <v>102</v>
      </c>
      <c r="C5" s="11" t="s">
        <v>3</v>
      </c>
      <c r="D5" s="11" t="s">
        <v>103</v>
      </c>
      <c r="E5" s="11" t="s">
        <v>42</v>
      </c>
      <c r="F5" s="11" t="s">
        <v>43</v>
      </c>
      <c r="G5" s="11" t="s">
        <v>203</v>
      </c>
      <c r="I5" s="41"/>
      <c r="J5" s="41"/>
    </row>
    <row r="6" spans="1:10" x14ac:dyDescent="0.25">
      <c r="A6" s="12" t="s">
        <v>104</v>
      </c>
      <c r="B6" s="17" t="s">
        <v>105</v>
      </c>
      <c r="C6" s="13">
        <v>314513.47</v>
      </c>
      <c r="D6" s="14">
        <v>26519</v>
      </c>
      <c r="E6" s="13">
        <v>16570.8</v>
      </c>
      <c r="F6" s="16">
        <v>0.0501</v>
      </c>
      <c r="G6" s="17" t="s">
        <v>97</v>
      </c>
      <c r="I6" s="41"/>
      <c r="J6" s="41"/>
    </row>
    <row r="7" spans="1:10" x14ac:dyDescent="0.25">
      <c r="A7" s="12" t="s">
        <v>106</v>
      </c>
      <c r="B7" s="17" t="s">
        <v>107</v>
      </c>
      <c r="C7" s="13">
        <v>252122.83</v>
      </c>
      <c r="D7" s="14">
        <v>94839</v>
      </c>
      <c r="E7" s="13">
        <v>9387.1</v>
      </c>
      <c r="F7" s="16">
        <v>0.0359</v>
      </c>
      <c r="G7" s="17" t="s">
        <v>97</v>
      </c>
      <c r="I7" s="41"/>
      <c r="J7" s="41"/>
    </row>
    <row r="8" spans="1:10" x14ac:dyDescent="0.25">
      <c r="A8" s="12" t="s">
        <v>108</v>
      </c>
      <c r="B8" s="17" t="s">
        <v>109</v>
      </c>
      <c r="C8" s="13">
        <v>180830.85</v>
      </c>
      <c r="D8" s="14">
        <v>97350</v>
      </c>
      <c r="E8" s="13">
        <v>2168.82</v>
      </c>
      <c r="F8" s="16">
        <v>0.0119</v>
      </c>
      <c r="G8" s="17" t="s">
        <v>97</v>
      </c>
      <c r="I8" s="41"/>
      <c r="J8" s="41"/>
    </row>
    <row r="9" spans="1:10" x14ac:dyDescent="0.25">
      <c r="A9" s="12" t="s">
        <v>110</v>
      </c>
      <c r="B9" s="17" t="s">
        <v>111</v>
      </c>
      <c r="C9" s="13">
        <v>147157.43</v>
      </c>
      <c r="D9" s="14">
        <v>28216</v>
      </c>
      <c r="E9" s="13">
        <v>1238.55</v>
      </c>
      <c r="F9" s="16">
        <v>0.0083</v>
      </c>
      <c r="G9" s="17" t="s">
        <v>97</v>
      </c>
      <c r="I9" s="41"/>
      <c r="J9" s="41"/>
    </row>
    <row r="10" spans="1:10" x14ac:dyDescent="0.25">
      <c r="A10" s="12" t="s">
        <v>112</v>
      </c>
      <c r="B10" s="17" t="s">
        <v>113</v>
      </c>
      <c r="C10" s="13">
        <v>128893.49</v>
      </c>
      <c r="D10" s="14">
        <v>80285</v>
      </c>
      <c r="E10" s="13">
        <v>774.0700000000001</v>
      </c>
      <c r="F10" s="16">
        <v>0.006</v>
      </c>
      <c r="G10" s="17" t="s">
        <v>97</v>
      </c>
      <c r="I10" s="41"/>
      <c r="J10" s="41"/>
    </row>
    <row r="11" spans="1:10" x14ac:dyDescent="0.25">
      <c r="A11" s="12" t="s">
        <v>114</v>
      </c>
      <c r="B11" s="17" t="s">
        <v>115</v>
      </c>
      <c r="C11" s="13">
        <v>116407.74</v>
      </c>
      <c r="D11" s="14">
        <v>35121</v>
      </c>
      <c r="E11" s="13">
        <v>1461.7</v>
      </c>
      <c r="F11" s="16">
        <v>0.0124</v>
      </c>
      <c r="G11" s="17" t="s">
        <v>97</v>
      </c>
      <c r="I11" s="41"/>
      <c r="J11" s="41"/>
    </row>
    <row r="12" spans="1:10" x14ac:dyDescent="0.25">
      <c r="A12" s="12" t="s">
        <v>116</v>
      </c>
      <c r="B12" s="17" t="s">
        <v>117</v>
      </c>
      <c r="C12" s="13">
        <v>80237.48</v>
      </c>
      <c r="D12" s="14">
        <v>15918</v>
      </c>
      <c r="E12" s="13">
        <v>635.75</v>
      </c>
      <c r="F12" s="16">
        <v>0.007900000000000001</v>
      </c>
      <c r="G12" s="17" t="s">
        <v>97</v>
      </c>
      <c r="I12" s="41"/>
      <c r="J12" s="41"/>
    </row>
    <row r="13" spans="1:10" x14ac:dyDescent="0.25">
      <c r="A13" s="12" t="s">
        <v>118</v>
      </c>
      <c r="B13" s="17" t="s">
        <v>119</v>
      </c>
      <c r="C13" s="13">
        <v>78935.92</v>
      </c>
      <c r="D13" s="14">
        <v>88537</v>
      </c>
      <c r="E13" s="13">
        <v>616.58</v>
      </c>
      <c r="F13" s="16">
        <v>0.0078</v>
      </c>
      <c r="G13" s="17" t="s">
        <v>97</v>
      </c>
    </row>
    <row r="14" spans="1:10" x14ac:dyDescent="0.25">
      <c r="A14" s="12" t="s">
        <v>120</v>
      </c>
      <c r="B14" s="17" t="s">
        <v>121</v>
      </c>
      <c r="C14" s="13">
        <v>75516.27</v>
      </c>
      <c r="D14" s="14">
        <v>39466</v>
      </c>
      <c r="E14" s="13">
        <v>866.98</v>
      </c>
      <c r="F14" s="16">
        <v>0.0114</v>
      </c>
      <c r="G14" s="17" t="s">
        <v>97</v>
      </c>
    </row>
    <row r="15" spans="1:10" x14ac:dyDescent="0.25">
      <c r="A15" s="12" t="s">
        <v>122</v>
      </c>
      <c r="B15" s="17" t="s">
        <v>123</v>
      </c>
      <c r="C15" s="13">
        <v>71023.5</v>
      </c>
      <c r="D15" s="14">
        <v>31430</v>
      </c>
      <c r="E15" s="13">
        <v>330.45</v>
      </c>
      <c r="F15" s="16">
        <v>0.0046</v>
      </c>
      <c r="G15" s="17" t="s">
        <v>97</v>
      </c>
    </row>
    <row r="16" spans="1:10" x14ac:dyDescent="0.25">
      <c r="A16" s="12" t="s">
        <v>204</v>
      </c>
      <c r="B16" s="17" t="s">
        <v>205</v>
      </c>
      <c r="C16" s="13">
        <v>70010.74000000001</v>
      </c>
      <c r="D16" s="14">
        <v>40505</v>
      </c>
      <c r="E16" s="13">
        <v>1383.75</v>
      </c>
      <c r="F16" s="16">
        <v>0.0194</v>
      </c>
      <c r="G16" s="17" t="s">
        <v>97</v>
      </c>
    </row>
    <row r="17" spans="1:7" x14ac:dyDescent="0.25">
      <c r="A17" s="12" t="s">
        <v>206</v>
      </c>
      <c r="B17" s="17" t="s">
        <v>207</v>
      </c>
      <c r="C17" s="13">
        <v>68595.97</v>
      </c>
      <c r="D17" s="14">
        <v>37113</v>
      </c>
      <c r="E17" s="13">
        <v>512.24</v>
      </c>
      <c r="F17" s="16">
        <v>0.0074</v>
      </c>
      <c r="G17" s="17" t="s">
        <v>97</v>
      </c>
    </row>
    <row r="18" spans="1:7" x14ac:dyDescent="0.25">
      <c r="A18" s="12" t="s">
        <v>208</v>
      </c>
      <c r="B18" s="17" t="s">
        <v>209</v>
      </c>
      <c r="C18" s="13">
        <v>66778.78</v>
      </c>
      <c r="D18" s="14">
        <v>10095</v>
      </c>
      <c r="E18" s="13">
        <v>359.41</v>
      </c>
      <c r="F18" s="16">
        <v>0.0054</v>
      </c>
      <c r="G18" s="17" t="s">
        <v>97</v>
      </c>
    </row>
    <row r="19" spans="1:7" x14ac:dyDescent="0.25">
      <c r="A19" s="12" t="s">
        <v>210</v>
      </c>
      <c r="B19" s="17" t="s">
        <v>211</v>
      </c>
      <c r="C19" s="13">
        <v>66756.59</v>
      </c>
      <c r="D19" s="14">
        <v>30788</v>
      </c>
      <c r="E19" s="13">
        <v>208.4</v>
      </c>
      <c r="F19" s="16">
        <v>0.0031</v>
      </c>
      <c r="G19" s="17" t="s">
        <v>97</v>
      </c>
    </row>
    <row r="20" spans="1:7" x14ac:dyDescent="0.25">
      <c r="A20" s="12" t="s">
        <v>212</v>
      </c>
      <c r="B20" s="17" t="s">
        <v>213</v>
      </c>
      <c r="C20" s="13">
        <v>65832.17999999999</v>
      </c>
      <c r="D20" s="14">
        <v>9789</v>
      </c>
      <c r="E20" s="13">
        <v>632.53</v>
      </c>
      <c r="F20" s="16">
        <v>0.0095</v>
      </c>
      <c r="G20" s="17" t="s">
        <v>97</v>
      </c>
    </row>
    <row r="21" spans="1:7" x14ac:dyDescent="0.25">
      <c r="A21" s="12" t="s">
        <v>214</v>
      </c>
      <c r="B21" s="17" t="s">
        <v>215</v>
      </c>
      <c r="C21" s="13">
        <v>65140.75</v>
      </c>
      <c r="D21" s="14">
        <v>18748</v>
      </c>
      <c r="E21" s="13">
        <v>82.29000000000001</v>
      </c>
      <c r="F21" s="16">
        <v>0.0013</v>
      </c>
      <c r="G21" s="17" t="s">
        <v>97</v>
      </c>
    </row>
    <row r="22" spans="1:7" x14ac:dyDescent="0.25">
      <c r="A22" s="12" t="s">
        <v>216</v>
      </c>
      <c r="B22" s="17" t="s">
        <v>217</v>
      </c>
      <c r="C22" s="13">
        <v>60854.48</v>
      </c>
      <c r="D22" s="14">
        <v>29196</v>
      </c>
      <c r="E22" s="13">
        <v>710.63</v>
      </c>
      <c r="F22" s="16">
        <v>0.0115</v>
      </c>
      <c r="G22" s="17" t="s">
        <v>97</v>
      </c>
    </row>
    <row r="23" spans="1:7" x14ac:dyDescent="0.25">
      <c r="A23" s="12" t="s">
        <v>218</v>
      </c>
      <c r="B23" s="17" t="s">
        <v>219</v>
      </c>
      <c r="C23" s="13">
        <v>60488.08</v>
      </c>
      <c r="D23" s="14">
        <v>3774</v>
      </c>
      <c r="E23" s="13">
        <v>436.42</v>
      </c>
      <c r="F23" s="16">
        <v>0.0072</v>
      </c>
      <c r="G23" s="17" t="s">
        <v>97</v>
      </c>
    </row>
    <row r="24" spans="1:7" x14ac:dyDescent="0.25">
      <c r="A24" s="12" t="s">
        <v>135</v>
      </c>
      <c r="B24" s="17" t="s">
        <v>136</v>
      </c>
      <c r="C24" s="13">
        <v>59919.7</v>
      </c>
      <c r="D24" s="14">
        <v>6155</v>
      </c>
      <c r="E24" s="13">
        <v>5270.25</v>
      </c>
      <c r="F24" s="16">
        <v>0.0808</v>
      </c>
      <c r="G24" s="17" t="s">
        <v>97</v>
      </c>
    </row>
    <row r="25" spans="1:7" x14ac:dyDescent="0.25">
      <c r="A25" s="12" t="s">
        <v>220</v>
      </c>
      <c r="B25" s="17" t="s">
        <v>221</v>
      </c>
      <c r="C25" s="13">
        <v>59861.04</v>
      </c>
      <c r="D25" s="14">
        <v>6914</v>
      </c>
      <c r="E25" s="13">
        <v>544</v>
      </c>
      <c r="F25" s="16">
        <v>0.008999999999999999</v>
      </c>
      <c r="G25" s="17" t="s">
        <v>97</v>
      </c>
    </row>
    <row r="29" spans="1:7" x14ac:dyDescent="0.25">
      <c r="A29" s="7" t="s">
        <v>222</v>
      </c>
      <c r="B29" s="7"/>
      <c r="C29" s="7"/>
      <c r="D29" s="7"/>
    </row>
    <row r="30" spans="1:7" x14ac:dyDescent="0.25">
      <c r="A30" s="11" t="s">
        <v>101</v>
      </c>
      <c r="B30" s="11" t="s">
        <v>102</v>
      </c>
      <c r="C30" s="11" t="s">
        <v>42</v>
      </c>
      <c r="D30" s="11" t="s">
        <v>43</v>
      </c>
    </row>
    <row r="31" spans="1:7" x14ac:dyDescent="0.25">
      <c r="A31" s="12" t="s">
        <v>125</v>
      </c>
      <c r="B31" s="17" t="s">
        <v>126</v>
      </c>
      <c r="C31" s="13">
        <v>168469.6</v>
      </c>
      <c r="D31" s="16">
        <v>1</v>
      </c>
    </row>
    <row r="32" spans="1:7" x14ac:dyDescent="0.25">
      <c r="A32" s="12" t="s">
        <v>127</v>
      </c>
      <c r="B32" s="17" t="s">
        <v>128</v>
      </c>
      <c r="C32" s="13">
        <v>77479.64</v>
      </c>
      <c r="D32" s="16">
        <v>0.9483</v>
      </c>
    </row>
    <row r="33" spans="1:4" x14ac:dyDescent="0.25">
      <c r="A33" s="12" t="s">
        <v>104</v>
      </c>
      <c r="B33" s="17" t="s">
        <v>105</v>
      </c>
      <c r="C33" s="13">
        <v>16570.8</v>
      </c>
      <c r="D33" s="16">
        <v>0.0501</v>
      </c>
    </row>
    <row r="34" spans="1:4" x14ac:dyDescent="0.25">
      <c r="A34" s="12" t="s">
        <v>106</v>
      </c>
      <c r="B34" s="17" t="s">
        <v>107</v>
      </c>
      <c r="C34" s="13">
        <v>9387.1</v>
      </c>
      <c r="D34" s="16">
        <v>0.0359</v>
      </c>
    </row>
    <row r="35" spans="1:4" x14ac:dyDescent="0.25">
      <c r="A35" s="12" t="s">
        <v>129</v>
      </c>
      <c r="B35" s="17" t="s">
        <v>130</v>
      </c>
      <c r="C35" s="13">
        <v>7164.12</v>
      </c>
      <c r="D35" s="16">
        <v>0.1602</v>
      </c>
    </row>
    <row r="36" spans="1:4" x14ac:dyDescent="0.25">
      <c r="A36" s="12" t="s">
        <v>131</v>
      </c>
      <c r="B36" s="17" t="s">
        <v>132</v>
      </c>
      <c r="C36" s="13">
        <v>6614.37</v>
      </c>
      <c r="D36" s="16">
        <v>0.26</v>
      </c>
    </row>
    <row r="37" spans="1:4" x14ac:dyDescent="0.25">
      <c r="A37" s="12" t="s">
        <v>133</v>
      </c>
      <c r="B37" s="17" t="s">
        <v>134</v>
      </c>
      <c r="C37" s="13">
        <v>6421.1</v>
      </c>
      <c r="D37" s="16">
        <v>0.3558</v>
      </c>
    </row>
    <row r="38" spans="1:4" x14ac:dyDescent="0.25">
      <c r="A38" s="12" t="s">
        <v>135</v>
      </c>
      <c r="B38" s="17" t="s">
        <v>136</v>
      </c>
      <c r="C38" s="13">
        <v>5270.25</v>
      </c>
      <c r="D38" s="16">
        <v>0.0808</v>
      </c>
    </row>
    <row r="39" spans="1:4" x14ac:dyDescent="0.25">
      <c r="A39" s="12" t="s">
        <v>137</v>
      </c>
      <c r="B39" s="17" t="s">
        <v>138</v>
      </c>
      <c r="C39" s="13">
        <v>5187.65</v>
      </c>
      <c r="D39" s="16">
        <v>0.1183</v>
      </c>
    </row>
    <row r="40" spans="1:4" x14ac:dyDescent="0.25">
      <c r="A40" s="12" t="s">
        <v>139</v>
      </c>
      <c r="B40" s="17" t="s">
        <v>140</v>
      </c>
      <c r="C40" s="13">
        <v>4803.06</v>
      </c>
      <c r="D40" s="16">
        <v>0.8184</v>
      </c>
    </row>
    <row r="41" spans="1:4" x14ac:dyDescent="0.25">
      <c r="A41" s="12" t="s">
        <v>223</v>
      </c>
      <c r="B41" s="17" t="s">
        <v>224</v>
      </c>
      <c r="C41" s="13">
        <v>4678.68</v>
      </c>
      <c r="D41" s="16">
        <v>0.1022</v>
      </c>
    </row>
    <row r="42" spans="1:4" x14ac:dyDescent="0.25">
      <c r="A42" s="12" t="s">
        <v>225</v>
      </c>
      <c r="B42" s="17" t="s">
        <v>226</v>
      </c>
      <c r="C42" s="13">
        <v>4490.5</v>
      </c>
      <c r="D42" s="16">
        <v>0.1627</v>
      </c>
    </row>
    <row r="43" spans="1:4" x14ac:dyDescent="0.25">
      <c r="A43" s="12" t="s">
        <v>227</v>
      </c>
      <c r="B43" s="17" t="s">
        <v>228</v>
      </c>
      <c r="C43" s="13">
        <v>4113.08</v>
      </c>
      <c r="D43" s="16">
        <v>0.1436</v>
      </c>
    </row>
    <row r="44" spans="1:4" x14ac:dyDescent="0.25">
      <c r="A44" s="12" t="s">
        <v>229</v>
      </c>
      <c r="B44" s="17" t="s">
        <v>230</v>
      </c>
      <c r="C44" s="13">
        <v>4052.95</v>
      </c>
      <c r="D44" s="16">
        <v>0.0882</v>
      </c>
    </row>
    <row r="45" spans="1:4" x14ac:dyDescent="0.25">
      <c r="A45" s="12" t="s">
        <v>231</v>
      </c>
      <c r="B45" s="17" t="s">
        <v>232</v>
      </c>
      <c r="C45" s="13">
        <v>4021.35</v>
      </c>
      <c r="D45" s="16">
        <v>0.2917</v>
      </c>
    </row>
  </sheetData>
  <mergeCells count="4">
    <mergeCell ref="A1:G1"/>
    <mergeCell ref="A4:G4"/>
    <mergeCell ref="A29:D29"/>
    <mergeCell ref="I4:J12"/>
  </mergeCells>
  <conditionalFormatting sqref="D31:D45">
    <cfRule type="dataBar" priority="1">
      <dataBar>
        <cfvo type="min"/>
        <cfvo type="max"/>
        <color rgb="FFE36414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E36414"/>
              <x14:negativeFillColor rgb="FFFF0000"/>
              <x14:negativeBorderColor rgb="FFFF0000"/>
              <x14:axisColor rgb="FF000000"/>
            </x14:dataBar>
          </x14:cfRule>
          <xm:sqref>D31:D45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0.7109375" customWidth="1"/>
    <col min="2" max="8" width="14.7109375" customWidth="1"/>
  </cols>
  <sheetData>
    <row r="1" spans="1:8" ht="34" customHeight="1">
      <c r="A1" s="1" t="s">
        <v>234</v>
      </c>
      <c r="B1" s="1"/>
      <c r="C1" s="1"/>
      <c r="D1" s="1"/>
      <c r="E1" s="1"/>
      <c r="F1" s="1"/>
      <c r="G1" s="1"/>
      <c r="H1" s="1"/>
    </row>
    <row r="4" spans="1:8">
      <c r="A4" s="7" t="s">
        <v>235</v>
      </c>
      <c r="B4" s="7"/>
      <c r="C4" s="7"/>
      <c r="D4" s="7"/>
      <c r="E4" s="7"/>
      <c r="F4" s="7"/>
      <c r="G4" s="7"/>
      <c r="H4" s="7"/>
    </row>
    <row r="5" spans="1:8">
      <c r="A5" s="11" t="s">
        <v>71</v>
      </c>
      <c r="B5" s="11" t="s">
        <v>3</v>
      </c>
      <c r="C5" s="11" t="s">
        <v>6</v>
      </c>
      <c r="D5" s="11" t="s">
        <v>9</v>
      </c>
      <c r="E5" s="11" t="s">
        <v>41</v>
      </c>
      <c r="F5" s="11" t="s">
        <v>43</v>
      </c>
      <c r="G5" s="11" t="s">
        <v>72</v>
      </c>
      <c r="H5" s="11" t="s">
        <v>236</v>
      </c>
    </row>
    <row r="6" spans="1:8">
      <c r="A6" s="12" t="s">
        <v>237</v>
      </c>
      <c r="B6" s="13">
        <v>16219859.67</v>
      </c>
      <c r="C6" s="14">
        <v>36184</v>
      </c>
      <c r="D6" s="14">
        <v>5334</v>
      </c>
      <c r="E6" s="13">
        <v>465.82</v>
      </c>
      <c r="F6" s="16">
        <v>0.0377</v>
      </c>
      <c r="G6" s="16">
        <v>0.0042</v>
      </c>
      <c r="H6" s="17" t="s">
        <v>237</v>
      </c>
    </row>
    <row r="7" spans="1:8">
      <c r="A7" s="12" t="s">
        <v>73</v>
      </c>
      <c r="B7" s="13">
        <v>603407.1</v>
      </c>
      <c r="C7" s="14">
        <v>581</v>
      </c>
      <c r="D7" s="14">
        <v>3</v>
      </c>
      <c r="E7" s="13">
        <v>1073.66</v>
      </c>
      <c r="F7" s="16">
        <v>0.0327</v>
      </c>
      <c r="G7" s="16">
        <v>-0.2397</v>
      </c>
      <c r="H7" s="17" t="s">
        <v>238</v>
      </c>
    </row>
    <row r="8" spans="1:8">
      <c r="A8" s="12" t="s">
        <v>74</v>
      </c>
      <c r="B8" s="13">
        <v>546097.08</v>
      </c>
      <c r="C8" s="14">
        <v>216</v>
      </c>
      <c r="D8" s="14">
        <v>22</v>
      </c>
      <c r="E8" s="13">
        <v>2545.25</v>
      </c>
      <c r="F8" s="16">
        <v>0.0067</v>
      </c>
      <c r="G8" s="16">
        <v>0.1089</v>
      </c>
      <c r="H8" s="17" t="s">
        <v>238</v>
      </c>
    </row>
    <row r="9" spans="1:8">
      <c r="A9" s="12" t="s">
        <v>75</v>
      </c>
      <c r="B9" s="13">
        <v>375132.18</v>
      </c>
      <c r="C9" s="14">
        <v>753</v>
      </c>
      <c r="D9" s="14">
        <v>107</v>
      </c>
      <c r="E9" s="13">
        <v>509.76</v>
      </c>
      <c r="F9" s="16">
        <v>0.0227</v>
      </c>
      <c r="G9" s="16">
        <v>0.1046</v>
      </c>
      <c r="H9" s="17" t="s">
        <v>238</v>
      </c>
    </row>
    <row r="10" spans="1:8">
      <c r="A10" s="12" t="s">
        <v>76</v>
      </c>
      <c r="B10" s="13">
        <v>293626.34</v>
      </c>
      <c r="C10" s="14">
        <v>598</v>
      </c>
      <c r="D10" s="14">
        <v>93</v>
      </c>
      <c r="E10" s="13">
        <v>520.55</v>
      </c>
      <c r="F10" s="16">
        <v>0.0567</v>
      </c>
      <c r="G10" s="16">
        <v>0.5493</v>
      </c>
      <c r="H10" s="17" t="s">
        <v>238</v>
      </c>
    </row>
    <row r="11" spans="1:8">
      <c r="A11" s="12" t="s">
        <v>77</v>
      </c>
      <c r="B11" s="13">
        <v>166349.65</v>
      </c>
      <c r="C11" s="14">
        <v>89</v>
      </c>
      <c r="D11" s="14">
        <v>15</v>
      </c>
      <c r="E11" s="13">
        <v>1886.15</v>
      </c>
      <c r="F11" s="16">
        <v>0.008999999999999999</v>
      </c>
      <c r="G11" s="16">
        <v>3.544</v>
      </c>
      <c r="H11" s="17" t="s">
        <v>238</v>
      </c>
    </row>
    <row r="12" spans="1:8">
      <c r="A12" s="12" t="s">
        <v>78</v>
      </c>
      <c r="B12" s="13">
        <v>92940.36</v>
      </c>
      <c r="C12" s="14">
        <v>85</v>
      </c>
      <c r="D12" s="14">
        <v>22</v>
      </c>
      <c r="E12" s="13">
        <v>1106.43</v>
      </c>
      <c r="F12" s="16">
        <v>0.0118</v>
      </c>
      <c r="G12" s="16">
        <v>0.276</v>
      </c>
      <c r="H12" s="17" t="s">
        <v>238</v>
      </c>
    </row>
    <row r="13" spans="1:8">
      <c r="A13" s="12" t="s">
        <v>79</v>
      </c>
      <c r="B13" s="13">
        <v>84862.88</v>
      </c>
      <c r="C13" s="14">
        <v>144</v>
      </c>
      <c r="D13" s="14">
        <v>38</v>
      </c>
      <c r="E13" s="13">
        <v>679.29</v>
      </c>
      <c r="F13" s="16">
        <v>0.1324</v>
      </c>
      <c r="G13" s="16">
        <v>0.915</v>
      </c>
      <c r="H13" s="17" t="s">
        <v>238</v>
      </c>
    </row>
    <row r="14" spans="1:8">
      <c r="A14" s="12" t="s">
        <v>80</v>
      </c>
      <c r="B14" s="13">
        <v>84379.07000000001</v>
      </c>
      <c r="C14" s="14">
        <v>99</v>
      </c>
      <c r="D14" s="14">
        <v>19</v>
      </c>
      <c r="E14" s="13">
        <v>872.25</v>
      </c>
      <c r="F14" s="16">
        <v>0.0229</v>
      </c>
      <c r="G14" s="16">
        <v>-0.3353</v>
      </c>
      <c r="H14" s="17" t="s">
        <v>238</v>
      </c>
    </row>
    <row r="15" spans="1:8">
      <c r="A15" s="12" t="s">
        <v>81</v>
      </c>
      <c r="B15" s="13">
        <v>63355.59</v>
      </c>
      <c r="C15" s="14">
        <v>42</v>
      </c>
      <c r="D15" s="14">
        <v>12</v>
      </c>
      <c r="E15" s="13">
        <v>1605.3</v>
      </c>
      <c r="F15" s="16">
        <v>0.0603</v>
      </c>
      <c r="G15" s="16">
        <v>-0.6252</v>
      </c>
      <c r="H15" s="17" t="s">
        <v>238</v>
      </c>
    </row>
    <row r="16" spans="1:8">
      <c r="A16" s="12" t="s">
        <v>82</v>
      </c>
      <c r="B16" s="13">
        <v>56618.39</v>
      </c>
      <c r="C16" s="14">
        <v>143</v>
      </c>
      <c r="D16" s="14">
        <v>29</v>
      </c>
      <c r="E16" s="13">
        <v>398.69</v>
      </c>
      <c r="F16" s="16">
        <v>0.0069</v>
      </c>
      <c r="G16" s="16">
        <v>0.7551</v>
      </c>
      <c r="H16" s="17" t="s">
        <v>238</v>
      </c>
    </row>
    <row r="17" spans="1:8">
      <c r="A17" s="12" t="s">
        <v>239</v>
      </c>
      <c r="B17" s="13">
        <v>46776.59</v>
      </c>
      <c r="C17" s="14">
        <v>85</v>
      </c>
      <c r="D17" s="14">
        <v>23</v>
      </c>
      <c r="E17" s="13">
        <v>557.73</v>
      </c>
      <c r="F17" s="16">
        <v>0.0133</v>
      </c>
      <c r="G17" s="16">
        <v>0.3413</v>
      </c>
      <c r="H17" s="17" t="s">
        <v>238</v>
      </c>
    </row>
    <row r="18" spans="1:8">
      <c r="A18" s="12" t="s">
        <v>240</v>
      </c>
      <c r="B18" s="13">
        <v>41851.71</v>
      </c>
      <c r="C18" s="14">
        <v>54</v>
      </c>
      <c r="D18" s="14">
        <v>13</v>
      </c>
      <c r="E18" s="13">
        <v>815.5599999999999</v>
      </c>
      <c r="F18" s="16">
        <v>0.0497</v>
      </c>
      <c r="G18" s="16">
        <v>-0.078</v>
      </c>
      <c r="H18" s="17" t="s">
        <v>238</v>
      </c>
    </row>
    <row r="19" spans="1:8">
      <c r="A19" s="12" t="s">
        <v>241</v>
      </c>
      <c r="B19" s="13">
        <v>39746.77</v>
      </c>
      <c r="C19" s="14">
        <v>33</v>
      </c>
      <c r="D19" s="14">
        <v>10</v>
      </c>
      <c r="E19" s="13">
        <v>1303.75</v>
      </c>
      <c r="F19" s="16">
        <v>0.0762</v>
      </c>
      <c r="G19" s="16">
        <v>2.2039</v>
      </c>
      <c r="H19" s="17" t="s">
        <v>238</v>
      </c>
    </row>
    <row r="20" spans="1:8">
      <c r="A20" s="12" t="s">
        <v>242</v>
      </c>
      <c r="B20" s="13">
        <v>38413.68</v>
      </c>
      <c r="C20" s="14">
        <v>39</v>
      </c>
      <c r="D20" s="14">
        <v>12</v>
      </c>
      <c r="E20" s="13">
        <v>989.11</v>
      </c>
      <c r="F20" s="16">
        <v>0.0042</v>
      </c>
      <c r="G20" s="16">
        <v>1.9872</v>
      </c>
      <c r="H20" s="17" t="s">
        <v>238</v>
      </c>
    </row>
    <row r="21" spans="1:8">
      <c r="A21" s="12" t="s">
        <v>243</v>
      </c>
      <c r="B21" s="13">
        <v>28241.25</v>
      </c>
      <c r="C21" s="14">
        <v>59</v>
      </c>
      <c r="D21" s="14">
        <v>17</v>
      </c>
      <c r="E21" s="13">
        <v>490.71</v>
      </c>
      <c r="F21" s="16">
        <v>0.0245</v>
      </c>
      <c r="G21" s="16">
        <v>0.1332</v>
      </c>
      <c r="H21" s="17" t="s">
        <v>238</v>
      </c>
    </row>
    <row r="22" spans="1:8">
      <c r="A22" s="12" t="s">
        <v>244</v>
      </c>
      <c r="B22" s="13">
        <v>25089.66</v>
      </c>
      <c r="C22" s="14">
        <v>54</v>
      </c>
      <c r="D22" s="14">
        <v>13</v>
      </c>
      <c r="E22" s="13">
        <v>466.3</v>
      </c>
      <c r="F22" s="16">
        <v>0.0036</v>
      </c>
      <c r="G22" s="16">
        <v>1.7941</v>
      </c>
      <c r="H22" s="17" t="s">
        <v>238</v>
      </c>
    </row>
    <row r="23" spans="1:8">
      <c r="A23" s="12" t="s">
        <v>245</v>
      </c>
      <c r="B23" s="13">
        <v>24117.74</v>
      </c>
      <c r="C23" s="14">
        <v>35</v>
      </c>
      <c r="D23" s="14">
        <v>11</v>
      </c>
      <c r="E23" s="13">
        <v>703.27</v>
      </c>
      <c r="F23" s="16">
        <v>0.0202</v>
      </c>
      <c r="G23" s="16">
        <v>0.4611</v>
      </c>
      <c r="H23" s="17" t="s">
        <v>238</v>
      </c>
    </row>
    <row r="24" spans="1:8">
      <c r="A24" s="12" t="s">
        <v>246</v>
      </c>
      <c r="B24" s="13">
        <v>20071.6</v>
      </c>
      <c r="C24" s="14">
        <v>40</v>
      </c>
      <c r="D24" s="14">
        <v>13</v>
      </c>
      <c r="E24" s="13">
        <v>507.43</v>
      </c>
      <c r="F24" s="16">
        <v>0.0111</v>
      </c>
      <c r="G24" s="16">
        <v>-0.0945</v>
      </c>
      <c r="H24" s="17" t="s">
        <v>238</v>
      </c>
    </row>
    <row r="25" spans="1:8">
      <c r="A25" s="12" t="s">
        <v>247</v>
      </c>
      <c r="B25" s="13">
        <v>18660.49</v>
      </c>
      <c r="C25" s="14">
        <v>18</v>
      </c>
      <c r="D25" s="14">
        <v>5</v>
      </c>
      <c r="E25" s="13">
        <v>1039.51</v>
      </c>
      <c r="F25" s="16">
        <v>0.0027</v>
      </c>
      <c r="G25" s="16">
        <v>-0.6752</v>
      </c>
      <c r="H25" s="17" t="s">
        <v>238</v>
      </c>
    </row>
    <row r="26" spans="1:8">
      <c r="A26" s="12" t="s">
        <v>248</v>
      </c>
      <c r="B26" s="13">
        <v>13158.16</v>
      </c>
      <c r="C26" s="14">
        <v>8</v>
      </c>
      <c r="D26" s="14">
        <v>1</v>
      </c>
      <c r="E26" s="13">
        <v>1644.77</v>
      </c>
      <c r="F26" s="16">
        <v>0</v>
      </c>
      <c r="G26" s="16">
        <v>1.2588</v>
      </c>
      <c r="H26" s="17" t="s">
        <v>238</v>
      </c>
    </row>
    <row r="27" spans="1:8">
      <c r="A27" s="12" t="s">
        <v>249</v>
      </c>
      <c r="B27" s="13">
        <v>11107.22</v>
      </c>
      <c r="C27" s="14">
        <v>10</v>
      </c>
      <c r="D27" s="14">
        <v>4</v>
      </c>
      <c r="E27" s="13">
        <v>1133.47</v>
      </c>
      <c r="F27" s="16">
        <v>0.0201</v>
      </c>
      <c r="G27" s="16">
        <v>1.5427</v>
      </c>
      <c r="H27" s="17" t="s">
        <v>238</v>
      </c>
    </row>
    <row r="28" spans="1:8">
      <c r="A28" s="12" t="s">
        <v>250</v>
      </c>
      <c r="B28" s="13">
        <v>10914.01</v>
      </c>
      <c r="C28" s="14">
        <v>24</v>
      </c>
      <c r="D28" s="14">
        <v>6</v>
      </c>
      <c r="E28" s="13">
        <v>455.67</v>
      </c>
      <c r="F28" s="16">
        <v>0.002</v>
      </c>
      <c r="G28" s="16">
        <v>-0.2295</v>
      </c>
      <c r="H28" s="17" t="s">
        <v>238</v>
      </c>
    </row>
    <row r="29" spans="1:8">
      <c r="A29" s="12" t="s">
        <v>251</v>
      </c>
      <c r="B29" s="13">
        <v>9839.93</v>
      </c>
      <c r="C29" s="14">
        <v>28</v>
      </c>
      <c r="D29" s="14">
        <v>6</v>
      </c>
      <c r="E29" s="13">
        <v>364.8</v>
      </c>
      <c r="F29" s="16">
        <v>0.0367</v>
      </c>
      <c r="G29" s="16">
        <v>1.3069</v>
      </c>
      <c r="H29" s="17" t="s">
        <v>238</v>
      </c>
    </row>
    <row r="30" spans="1:8">
      <c r="A30" s="12" t="s">
        <v>252</v>
      </c>
      <c r="B30" s="13">
        <v>9628.15</v>
      </c>
      <c r="C30" s="14">
        <v>12</v>
      </c>
      <c r="D30" s="14">
        <v>4</v>
      </c>
      <c r="E30" s="13">
        <v>856.1</v>
      </c>
      <c r="F30" s="16">
        <v>0.06279999999999999</v>
      </c>
      <c r="G30" s="16">
        <v>-0.744</v>
      </c>
      <c r="H30" s="17" t="s">
        <v>238</v>
      </c>
    </row>
    <row r="31" spans="1:8">
      <c r="A31" s="12" t="s">
        <v>253</v>
      </c>
      <c r="B31" s="13">
        <v>5839.69</v>
      </c>
      <c r="C31" s="14">
        <v>16</v>
      </c>
      <c r="D31" s="14">
        <v>8</v>
      </c>
      <c r="E31" s="13">
        <v>495</v>
      </c>
      <c r="F31" s="16">
        <v>0.2627</v>
      </c>
      <c r="G31" s="16">
        <v>-0.5787</v>
      </c>
      <c r="H31" s="17" t="s">
        <v>238</v>
      </c>
    </row>
    <row r="32" spans="1:8">
      <c r="A32" s="12" t="s">
        <v>254</v>
      </c>
      <c r="B32" s="13">
        <v>4921.53</v>
      </c>
      <c r="C32" s="14">
        <v>8</v>
      </c>
      <c r="D32" s="14">
        <v>1</v>
      </c>
      <c r="E32" s="13">
        <v>615.1900000000001</v>
      </c>
      <c r="F32" s="16">
        <v>0</v>
      </c>
      <c r="G32" s="16">
        <v>1.7191</v>
      </c>
      <c r="H32" s="17" t="s">
        <v>238</v>
      </c>
    </row>
    <row r="33" spans="1:8">
      <c r="A33" s="12" t="s">
        <v>255</v>
      </c>
      <c r="B33" s="13">
        <v>4892.68</v>
      </c>
      <c r="C33" s="14">
        <v>6</v>
      </c>
      <c r="D33" s="14">
        <v>1</v>
      </c>
      <c r="E33" s="13">
        <v>815.45</v>
      </c>
      <c r="F33" s="16">
        <v>0</v>
      </c>
      <c r="G33" s="16">
        <v>-1</v>
      </c>
      <c r="H33" s="17" t="s">
        <v>238</v>
      </c>
    </row>
    <row r="34" spans="1:8">
      <c r="A34" s="12" t="s">
        <v>256</v>
      </c>
      <c r="B34" s="13">
        <v>4667.22</v>
      </c>
      <c r="C34" s="14">
        <v>7</v>
      </c>
      <c r="D34" s="14">
        <v>2</v>
      </c>
      <c r="E34" s="13">
        <v>679.62</v>
      </c>
      <c r="F34" s="16">
        <v>0.0189</v>
      </c>
      <c r="G34" s="16">
        <v>-0.2629</v>
      </c>
      <c r="H34" s="17" t="s">
        <v>238</v>
      </c>
    </row>
    <row r="35" spans="1:8">
      <c r="A35" s="12" t="s">
        <v>257</v>
      </c>
      <c r="B35" s="13">
        <v>4332.1</v>
      </c>
      <c r="C35" s="14">
        <v>7</v>
      </c>
      <c r="D35" s="14">
        <v>5</v>
      </c>
      <c r="E35" s="13">
        <v>618.87</v>
      </c>
      <c r="F35" s="16">
        <v>0</v>
      </c>
      <c r="G35" s="16">
        <v>1.5606</v>
      </c>
      <c r="H35" s="17" t="s">
        <v>238</v>
      </c>
    </row>
    <row r="36" spans="1:8">
      <c r="A36" s="12" t="s">
        <v>258</v>
      </c>
      <c r="B36" s="13">
        <v>3369.03</v>
      </c>
      <c r="C36" s="14">
        <v>3</v>
      </c>
      <c r="D36" s="14">
        <v>2</v>
      </c>
      <c r="E36" s="13">
        <v>1123.01</v>
      </c>
      <c r="F36" s="16">
        <v>0</v>
      </c>
      <c r="G36" s="16">
        <v>-0.5765</v>
      </c>
      <c r="H36" s="17" t="s">
        <v>238</v>
      </c>
    </row>
    <row r="37" spans="1:8">
      <c r="A37" s="12" t="s">
        <v>259</v>
      </c>
      <c r="B37" s="13">
        <v>3070.54</v>
      </c>
      <c r="C37" s="14">
        <v>2</v>
      </c>
      <c r="D37" s="14">
        <v>1</v>
      </c>
      <c r="E37" s="13">
        <v>1535.27</v>
      </c>
      <c r="F37" s="16">
        <v>0</v>
      </c>
      <c r="G37" s="16">
        <v>-1</v>
      </c>
      <c r="H37" s="17" t="s">
        <v>238</v>
      </c>
    </row>
    <row r="38" spans="1:8">
      <c r="A38" s="12" t="s">
        <v>260</v>
      </c>
      <c r="B38" s="13">
        <v>2861.55</v>
      </c>
      <c r="C38" s="14">
        <v>10</v>
      </c>
      <c r="D38" s="14">
        <v>2</v>
      </c>
      <c r="E38" s="13">
        <v>310.98</v>
      </c>
      <c r="F38" s="16">
        <v>0.0798</v>
      </c>
      <c r="G38" s="16">
        <v>-0.8519</v>
      </c>
      <c r="H38" s="17" t="s">
        <v>238</v>
      </c>
    </row>
    <row r="39" spans="1:8">
      <c r="A39" s="12" t="s">
        <v>261</v>
      </c>
      <c r="B39" s="13">
        <v>1905.58</v>
      </c>
      <c r="C39" s="14">
        <v>2</v>
      </c>
      <c r="D39" s="14">
        <v>1</v>
      </c>
      <c r="E39" s="13">
        <v>952.79</v>
      </c>
      <c r="F39" s="16">
        <v>0</v>
      </c>
      <c r="G39" s="16">
        <v>7.0013</v>
      </c>
      <c r="H39" s="17" t="s">
        <v>238</v>
      </c>
    </row>
    <row r="40" spans="1:8">
      <c r="A40" s="12" t="s">
        <v>262</v>
      </c>
      <c r="B40" s="13">
        <v>1411.87</v>
      </c>
      <c r="C40" s="14">
        <v>2</v>
      </c>
      <c r="D40" s="14">
        <v>2</v>
      </c>
      <c r="E40" s="13">
        <v>705.9299999999999</v>
      </c>
      <c r="F40" s="16">
        <v>0</v>
      </c>
      <c r="G40" s="16">
        <v>3.2629</v>
      </c>
      <c r="H40" s="17" t="s">
        <v>238</v>
      </c>
    </row>
    <row r="41" spans="1:8">
      <c r="A41" s="12" t="s">
        <v>263</v>
      </c>
      <c r="B41" s="13">
        <v>1150.75</v>
      </c>
      <c r="C41" s="14">
        <v>3</v>
      </c>
      <c r="D41" s="14">
        <v>1</v>
      </c>
      <c r="E41" s="13">
        <v>386.42</v>
      </c>
      <c r="F41" s="16">
        <v>0.0073</v>
      </c>
      <c r="G41" s="16" t="e">
        <f>1/0</f>
        <v>#DIV/0!</v>
      </c>
      <c r="H41" s="17" t="s">
        <v>238</v>
      </c>
    </row>
    <row r="42" spans="1:8">
      <c r="A42" s="12" t="s">
        <v>264</v>
      </c>
      <c r="B42" s="13">
        <v>949.8200000000001</v>
      </c>
      <c r="C42" s="14">
        <v>2</v>
      </c>
      <c r="D42" s="14">
        <v>2</v>
      </c>
      <c r="E42" s="13">
        <v>559.25</v>
      </c>
      <c r="F42" s="16">
        <v>0.1508</v>
      </c>
      <c r="G42" s="16">
        <v>-1</v>
      </c>
      <c r="H42" s="17" t="s">
        <v>238</v>
      </c>
    </row>
    <row r="43" spans="1:8">
      <c r="A43" s="12" t="s">
        <v>265</v>
      </c>
      <c r="B43" s="13">
        <v>671.72</v>
      </c>
      <c r="C43" s="14">
        <v>2</v>
      </c>
      <c r="D43" s="14">
        <v>1</v>
      </c>
      <c r="E43" s="13">
        <v>393.37</v>
      </c>
      <c r="F43" s="16">
        <v>0.1462</v>
      </c>
      <c r="G43" s="16" t="e">
        <f>1/0</f>
        <v>#DIV/0!</v>
      </c>
      <c r="H43" s="17" t="s">
        <v>238</v>
      </c>
    </row>
    <row r="44" spans="1:8">
      <c r="A44" s="12" t="s">
        <v>266</v>
      </c>
      <c r="B44" s="13">
        <v>536.41</v>
      </c>
      <c r="C44" s="14">
        <v>1</v>
      </c>
      <c r="D44" s="14">
        <v>1</v>
      </c>
      <c r="E44" s="13">
        <v>536.41</v>
      </c>
      <c r="F44" s="16">
        <v>0</v>
      </c>
      <c r="G44" s="16">
        <v>-1</v>
      </c>
      <c r="H44" s="17" t="s">
        <v>238</v>
      </c>
    </row>
    <row r="45" spans="1:8">
      <c r="A45" s="12" t="s">
        <v>267</v>
      </c>
      <c r="B45" s="13">
        <v>131.17</v>
      </c>
      <c r="C45" s="14">
        <v>1</v>
      </c>
      <c r="D45" s="14">
        <v>1</v>
      </c>
      <c r="E45" s="13">
        <v>145.92</v>
      </c>
      <c r="F45" s="16">
        <v>0.1011</v>
      </c>
      <c r="G45" s="16" t="e">
        <f>1/0</f>
        <v>#DIV/0!</v>
      </c>
      <c r="H45" s="17" t="s">
        <v>238</v>
      </c>
    </row>
    <row r="46" spans="1:8">
      <c r="A46" s="12" t="s">
        <v>268</v>
      </c>
      <c r="B46" s="13">
        <v>-34.48</v>
      </c>
      <c r="C46" s="14">
        <v>1</v>
      </c>
      <c r="D46" s="14">
        <v>1</v>
      </c>
      <c r="E46" s="13">
        <v>112.57</v>
      </c>
      <c r="F46" s="16">
        <v>1.3063</v>
      </c>
      <c r="G46" s="16">
        <v>-1</v>
      </c>
      <c r="H46" s="17" t="s">
        <v>238</v>
      </c>
    </row>
    <row r="52" spans="1:8">
      <c r="A52" s="10" t="s">
        <v>269</v>
      </c>
      <c r="B52" s="10"/>
      <c r="C52" s="10"/>
      <c r="D52" s="10"/>
      <c r="E52" s="10"/>
      <c r="F52" s="10"/>
      <c r="G52" s="10"/>
      <c r="H52" s="10"/>
    </row>
    <row r="53" spans="1:8">
      <c r="A53" s="10"/>
      <c r="B53" s="10"/>
      <c r="C53" s="10"/>
      <c r="D53" s="10"/>
      <c r="E53" s="10"/>
      <c r="F53" s="10"/>
      <c r="G53" s="10"/>
      <c r="H53" s="10"/>
    </row>
    <row r="54" spans="1:8">
      <c r="A54" s="10"/>
      <c r="B54" s="10"/>
      <c r="C54" s="10"/>
      <c r="D54" s="10"/>
      <c r="E54" s="10"/>
      <c r="F54" s="10"/>
      <c r="G54" s="10"/>
      <c r="H54" s="10"/>
    </row>
    <row r="55" spans="1:8">
      <c r="A55" s="10"/>
      <c r="B55" s="10"/>
      <c r="C55" s="10"/>
      <c r="D55" s="10"/>
      <c r="E55" s="10"/>
      <c r="F55" s="10"/>
      <c r="G55" s="10"/>
      <c r="H55" s="10"/>
    </row>
  </sheetData>
  <autoFilter ref="A5:H46"/>
  <mergeCells count="3">
    <mergeCell ref="A1:H1"/>
    <mergeCell ref="A4:H4"/>
    <mergeCell ref="A52:H55"/>
  </mergeCells>
  <conditionalFormatting sqref="G6:G46">
    <cfRule type="colorScale" priority="1">
      <colorScale>
        <cfvo type="min" val="0"/>
        <cfvo type="percentile" val="50"/>
        <cfvo type="max" val="0"/>
        <color rgb="FFF8D7DA"/>
        <color rgb="FFFFF3CD"/>
        <color rgb="FFD4EDDA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8"/>
  <sheetViews>
    <sheetView showGridLines="0" workbookViewId="0"/>
  </sheetViews>
  <sheetFormatPr defaultRowHeight="15"/>
  <cols>
    <col min="1" max="1" width="5.7109375" customWidth="1"/>
    <col min="2" max="2" width="30.7109375" customWidth="1"/>
    <col min="3" max="4" width="55.7109375" customWidth="1"/>
  </cols>
  <sheetData>
    <row r="1" spans="1:4" ht="36" customHeight="1">
      <c r="A1" s="1" t="s">
        <v>270</v>
      </c>
      <c r="B1" s="1"/>
      <c r="C1" s="1"/>
      <c r="D1" s="1"/>
    </row>
    <row r="3" spans="1:4">
      <c r="A3" s="42" t="s">
        <v>271</v>
      </c>
      <c r="B3" s="42" t="s">
        <v>272</v>
      </c>
      <c r="C3" s="42" t="s">
        <v>273</v>
      </c>
      <c r="D3" s="42" t="s">
        <v>274</v>
      </c>
    </row>
    <row r="4" spans="1:4" ht="36" customHeight="1">
      <c r="A4" s="43">
        <v>1</v>
      </c>
      <c r="B4" s="44" t="s">
        <v>275</v>
      </c>
      <c r="C4" s="45" t="s">
        <v>276</v>
      </c>
      <c r="D4" s="45" t="s">
        <v>277</v>
      </c>
    </row>
    <row r="5" spans="1:4" ht="36" customHeight="1">
      <c r="B5" s="44"/>
      <c r="C5" s="45"/>
      <c r="D5" s="45"/>
    </row>
    <row r="6" spans="1:4" ht="36" customHeight="1">
      <c r="B6" s="44"/>
      <c r="C6" s="45"/>
      <c r="D6" s="45"/>
    </row>
    <row r="7" spans="1:4" ht="36" customHeight="1">
      <c r="A7" s="43">
        <v>2</v>
      </c>
      <c r="B7" s="44" t="s">
        <v>278</v>
      </c>
      <c r="C7" s="45" t="s">
        <v>279</v>
      </c>
      <c r="D7" s="45" t="s">
        <v>280</v>
      </c>
    </row>
    <row r="8" spans="1:4" ht="36" customHeight="1">
      <c r="B8" s="44"/>
      <c r="C8" s="45"/>
      <c r="D8" s="45"/>
    </row>
    <row r="9" spans="1:4" ht="36" customHeight="1">
      <c r="B9" s="44"/>
      <c r="C9" s="45"/>
      <c r="D9" s="45"/>
    </row>
    <row r="10" spans="1:4" ht="36" customHeight="1">
      <c r="A10" s="43">
        <v>3</v>
      </c>
      <c r="B10" s="44" t="s">
        <v>281</v>
      </c>
      <c r="C10" s="45" t="s">
        <v>282</v>
      </c>
      <c r="D10" s="45" t="s">
        <v>283</v>
      </c>
    </row>
    <row r="11" spans="1:4" ht="36" customHeight="1">
      <c r="B11" s="44"/>
      <c r="C11" s="45"/>
      <c r="D11" s="45"/>
    </row>
    <row r="12" spans="1:4" ht="36" customHeight="1">
      <c r="B12" s="44"/>
      <c r="C12" s="45"/>
      <c r="D12" s="45"/>
    </row>
    <row r="13" spans="1:4" ht="36" customHeight="1">
      <c r="A13" s="43">
        <v>4</v>
      </c>
      <c r="B13" s="44" t="s">
        <v>284</v>
      </c>
      <c r="C13" s="45" t="s">
        <v>285</v>
      </c>
      <c r="D13" s="45" t="s">
        <v>286</v>
      </c>
    </row>
    <row r="14" spans="1:4" ht="36" customHeight="1">
      <c r="B14" s="44"/>
      <c r="C14" s="45"/>
      <c r="D14" s="45"/>
    </row>
    <row r="15" spans="1:4" ht="36" customHeight="1">
      <c r="B15" s="44"/>
      <c r="C15" s="45"/>
      <c r="D15" s="45"/>
    </row>
    <row r="16" spans="1:4" ht="36" customHeight="1">
      <c r="A16" s="43">
        <v>5</v>
      </c>
      <c r="B16" s="44" t="s">
        <v>287</v>
      </c>
      <c r="C16" s="45" t="s">
        <v>288</v>
      </c>
      <c r="D16" s="45" t="s">
        <v>289</v>
      </c>
    </row>
    <row r="17" spans="2:4" ht="36" customHeight="1">
      <c r="B17" s="44"/>
      <c r="C17" s="45"/>
      <c r="D17" s="45"/>
    </row>
    <row r="18" spans="2:4" ht="36" customHeight="1">
      <c r="B18" s="44"/>
      <c r="C18" s="45"/>
      <c r="D18" s="45"/>
    </row>
  </sheetData>
  <mergeCells count="16">
    <mergeCell ref="A1:D1"/>
    <mergeCell ref="B4:B6"/>
    <mergeCell ref="C4:C6"/>
    <mergeCell ref="D4:D6"/>
    <mergeCell ref="B7:B9"/>
    <mergeCell ref="C7:C9"/>
    <mergeCell ref="D7:D9"/>
    <mergeCell ref="B10:B12"/>
    <mergeCell ref="C10:C12"/>
    <mergeCell ref="D10:D12"/>
    <mergeCell ref="B13:B15"/>
    <mergeCell ref="C13:C15"/>
    <mergeCell ref="D13:D15"/>
    <mergeCell ref="B16:B18"/>
    <mergeCell ref="C16:C18"/>
    <mergeCell ref="D16:D18"/>
  </mergeCells>
  <pageMargins left="0.3" right="0.3" top="0.3" bottom="0.3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7"/>
  <sheetViews>
    <sheetView showGridLines="0" workbookViewId="0"/>
  </sheetViews>
  <sheetFormatPr defaultRowHeight="15"/>
  <cols>
    <col min="1" max="1" width="22.7109375" customWidth="1"/>
    <col min="2" max="2" width="18.7109375" customWidth="1"/>
    <col min="3" max="3" width="60.7109375" customWidth="1"/>
  </cols>
  <sheetData>
    <row r="1" spans="1:3" ht="34" customHeight="1">
      <c r="A1" s="1" t="s">
        <v>290</v>
      </c>
      <c r="B1" s="1"/>
      <c r="C1" s="1"/>
    </row>
    <row r="3" spans="1:3">
      <c r="A3" s="46" t="s">
        <v>291</v>
      </c>
      <c r="B3" s="46" t="s">
        <v>236</v>
      </c>
      <c r="C3" s="46" t="s">
        <v>292</v>
      </c>
    </row>
    <row r="4" spans="1:3">
      <c r="A4" s="47" t="s">
        <v>293</v>
      </c>
      <c r="B4" s="48" t="s">
        <v>294</v>
      </c>
      <c r="C4" s="10" t="s">
        <v>295</v>
      </c>
    </row>
    <row r="5" spans="1:3">
      <c r="A5" s="47" t="s">
        <v>296</v>
      </c>
      <c r="B5" s="48" t="s">
        <v>294</v>
      </c>
      <c r="C5" s="10" t="s">
        <v>297</v>
      </c>
    </row>
    <row r="6" spans="1:3">
      <c r="A6" s="47" t="s">
        <v>298</v>
      </c>
      <c r="B6" s="48" t="s">
        <v>294</v>
      </c>
      <c r="C6" s="10" t="s">
        <v>299</v>
      </c>
    </row>
    <row r="7" spans="1:3">
      <c r="A7" s="47" t="s">
        <v>300</v>
      </c>
      <c r="B7" s="48" t="s">
        <v>301</v>
      </c>
      <c r="C7" s="10" t="s">
        <v>302</v>
      </c>
    </row>
    <row r="8" spans="1:3">
      <c r="A8" s="47" t="s">
        <v>303</v>
      </c>
      <c r="B8" s="48" t="s">
        <v>304</v>
      </c>
      <c r="C8" s="10" t="s">
        <v>305</v>
      </c>
    </row>
    <row r="9" spans="1:3">
      <c r="A9" s="47" t="s">
        <v>306</v>
      </c>
      <c r="B9" s="48" t="s">
        <v>307</v>
      </c>
      <c r="C9" s="10" t="s">
        <v>308</v>
      </c>
    </row>
    <row r="10" spans="1:3">
      <c r="A10" s="47" t="s">
        <v>309</v>
      </c>
      <c r="B10" s="48" t="s">
        <v>294</v>
      </c>
      <c r="C10" s="10" t="s">
        <v>310</v>
      </c>
    </row>
    <row r="11" spans="1:3">
      <c r="A11" s="47" t="s">
        <v>311</v>
      </c>
      <c r="B11" s="48" t="s">
        <v>294</v>
      </c>
      <c r="C11" s="10" t="s">
        <v>312</v>
      </c>
    </row>
    <row r="12" spans="1:3">
      <c r="A12" s="47" t="s">
        <v>313</v>
      </c>
      <c r="B12" s="48" t="s">
        <v>307</v>
      </c>
      <c r="C12" s="10" t="s">
        <v>314</v>
      </c>
    </row>
    <row r="13" spans="1:3">
      <c r="A13" s="47" t="s">
        <v>315</v>
      </c>
      <c r="B13" s="48" t="s">
        <v>307</v>
      </c>
      <c r="C13" s="10" t="s">
        <v>316</v>
      </c>
    </row>
    <row r="14" spans="1:3">
      <c r="A14" s="47" t="s">
        <v>317</v>
      </c>
      <c r="B14" s="48" t="s">
        <v>307</v>
      </c>
      <c r="C14" s="10" t="s">
        <v>318</v>
      </c>
    </row>
    <row r="15" spans="1:3">
      <c r="A15" s="47" t="s">
        <v>319</v>
      </c>
      <c r="B15" s="48" t="s">
        <v>320</v>
      </c>
      <c r="C15" s="10" t="s">
        <v>321</v>
      </c>
    </row>
    <row r="16" spans="1:3">
      <c r="A16" s="47" t="s">
        <v>322</v>
      </c>
      <c r="B16" s="48" t="s">
        <v>320</v>
      </c>
      <c r="C16" s="10" t="s">
        <v>323</v>
      </c>
    </row>
    <row r="17" spans="1:3">
      <c r="A17" s="47" t="s">
        <v>324</v>
      </c>
      <c r="B17" s="48" t="s">
        <v>320</v>
      </c>
      <c r="C17" s="10" t="s">
        <v>325</v>
      </c>
    </row>
    <row r="18" spans="1:3">
      <c r="A18" s="47" t="s">
        <v>326</v>
      </c>
      <c r="B18" s="48" t="s">
        <v>320</v>
      </c>
      <c r="C18" s="10" t="s">
        <v>327</v>
      </c>
    </row>
    <row r="19" spans="1:3">
      <c r="A19" s="47" t="s">
        <v>328</v>
      </c>
      <c r="B19" s="48" t="s">
        <v>320</v>
      </c>
      <c r="C19" s="10" t="s">
        <v>329</v>
      </c>
    </row>
    <row r="20" spans="1:3">
      <c r="A20" s="47" t="s">
        <v>330</v>
      </c>
      <c r="B20" s="48" t="s">
        <v>294</v>
      </c>
      <c r="C20" s="10" t="s">
        <v>331</v>
      </c>
    </row>
    <row r="21" spans="1:3">
      <c r="A21" s="47" t="s">
        <v>332</v>
      </c>
      <c r="B21" s="48" t="s">
        <v>294</v>
      </c>
      <c r="C21" s="10" t="s">
        <v>333</v>
      </c>
    </row>
    <row r="23" spans="1:3">
      <c r="A23" s="10" t="s">
        <v>334</v>
      </c>
      <c r="B23" s="10"/>
      <c r="C23" s="10"/>
    </row>
    <row r="24" spans="1:3">
      <c r="A24" s="10"/>
      <c r="B24" s="10"/>
      <c r="C24" s="10"/>
    </row>
    <row r="25" spans="1:3">
      <c r="A25" s="10"/>
      <c r="B25" s="10"/>
      <c r="C25" s="10"/>
    </row>
    <row r="26" spans="1:3">
      <c r="A26" s="10"/>
      <c r="B26" s="10"/>
      <c r="C26" s="10"/>
    </row>
    <row r="27" spans="1:3">
      <c r="A27" s="10"/>
      <c r="B27" s="10"/>
      <c r="C27" s="10"/>
    </row>
  </sheetData>
  <mergeCells count="2">
    <mergeCell ref="A1:C1"/>
    <mergeCell ref="A23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项目首页</vt:lpstr>
      <vt:lpstr>数据附表</vt:lpstr>
      <vt:lpstr>管理看板</vt:lpstr>
      <vt:lpstr>客户分析</vt:lpstr>
      <vt:lpstr>商品与退货</vt:lpstr>
      <vt:lpstr>市场分析</vt:lpstr>
      <vt:lpstr>业务结论</vt:lpstr>
      <vt:lpstr>数据字典</vt:lpstr>
    </vt:vector>
  </TitlesOfParts>
  <Company>Portfolio Project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Online Retail II 商业分析看板</dc:title>
  <dc:subject>SQL + Python + Excel + Power BI 端到端分析</dc:subject>
  <dc:creator>Codex</dc:creator>
  <dc:description>数据源：UCI Online Retail II</dc:description>
  <cp:lastModifiedBy>Codex</cp:lastModifiedBy>
  <dcterms:created xsi:type="dcterms:W3CDTF">2026-10-19T02:36:23Z</dcterms:created>
  <dcterms:modified xsi:type="dcterms:W3CDTF">2026-10-19T02:36:23Z</dcterms:modified>
</cp:coreProperties>
</file>